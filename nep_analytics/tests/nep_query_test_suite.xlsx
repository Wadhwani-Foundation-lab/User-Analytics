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coring Guide" sheetId="2" state="visible" r:id="rId4"/>
    <sheet name="Cover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<sst xmlns="http://schemas.openxmlformats.org/spreadsheetml/2006/main" count="214" uniqueCount="142">
  <si>
    <t xml:space="preserve">NEP Analytics Chat — Production Simulation Test Set</t>
  </si>
  <si>
    <t xml:space="preserve">24 queries with verified expected outcomes. Pass = correct behavior, not just a row count. Counts are from the sample CSVs; refresh against live tables.</t>
  </si>
  <si>
    <t xml:space="preserve">ID</t>
  </si>
  <si>
    <t xml:space="preserve">Category</t>
  </si>
  <si>
    <t xml:space="preserve">NL Query</t>
  </si>
  <si>
    <t xml:space="preserve">Target Tables</t>
  </si>
  <si>
    <t xml:space="preserve">Expected Behavior</t>
  </si>
  <si>
    <t xml:space="preserve">Expected Value / Reason</t>
  </si>
  <si>
    <t xml:space="preserve">Wrong If</t>
  </si>
  <si>
    <t xml:space="preserve">Gotcha / What it probes</t>
  </si>
  <si>
    <t xml:space="preserve">A1</t>
  </si>
  <si>
    <t xml:space="preserve">Happy path</t>
  </si>
  <si>
    <t xml:space="preserve">How many ACTIVE mentors have PUBLIC visibility?</t>
  </si>
  <si>
    <t xml:space="preserve">mentor</t>
  </si>
  <si>
    <t xml:space="preserve">rows</t>
  </si>
  <si>
    <t xml:space="preserve">78</t>
  </si>
  <si>
    <t xml:space="preserve">happy path; user_status + visibility enums</t>
  </si>
  <si>
    <t xml:space="preserve">A2</t>
  </si>
  <si>
    <t xml:space="preserve">Show expert mentors broken down by program.</t>
  </si>
  <si>
    <t xml:space="preserve">ignite: 12, liftoff: 12</t>
  </si>
  <si>
    <t xml:space="preserve">mentor_type='EXPERT'; program null for many</t>
  </si>
  <si>
    <t xml:space="preserve">A3</t>
  </si>
  <si>
    <t xml:space="preserve">List mentors based outside India, by country.</t>
  </si>
  <si>
    <t xml:space="preserve">Mexico: 6, Nigeria: 4, Brasil: 2</t>
  </si>
  <si>
    <t xml:space="preserve">country IS NOT NULL AND country&lt;&gt;'India'</t>
  </si>
  <si>
    <t xml:space="preserve">A4</t>
  </si>
  <si>
    <t xml:space="preserve">How many mentors are tagged to the Demo Stage?</t>
  </si>
  <si>
    <t xml:space="preserve">76</t>
  </si>
  <si>
    <t xml:space="preserve">stage_name='Demo Stage'</t>
  </si>
  <si>
    <t xml:space="preserve">A5</t>
  </si>
  <si>
    <t xml:space="preserve">Break down COMPLETED events by program.</t>
  </si>
  <si>
    <t xml:space="preserve">events</t>
  </si>
  <si>
    <t xml:space="preserve">liftoff-propel: 51, liftoff-spark: 50, liftoff: 27</t>
  </si>
  <si>
    <t xml:space="preserve">event_status='COMPLETED'; row-grained, not distinct events</t>
  </si>
  <si>
    <t xml:space="preserve">A6</t>
  </si>
  <si>
    <t xml:space="preserve">Which speakers ran the most distinct events?</t>
  </si>
  <si>
    <t xml:space="preserve">Ajay Rungta: 2, Suhas Motwani: 2</t>
  </si>
  <si>
    <t xml:space="preserve">dedupe on event_id before counting speakers</t>
  </si>
  <si>
    <t xml:space="preserve">B1</t>
  </si>
  <si>
    <t xml:space="preserve">Grain trap</t>
  </si>
  <si>
    <t xml:space="preserve">How many startup users signed up?</t>
  </si>
  <si>
    <t xml:space="preserve">liftoffx</t>
  </si>
  <si>
    <t xml:space="preserve">grain</t>
  </si>
  <si>
    <t xml:space="preserve">10</t>
  </si>
  <si>
    <t xml:space="preserve">147</t>
  </si>
  <si>
    <t xml:space="preserve">COUNT(DISTINCT userid), not COUNT(*); 147 rows = 10 users</t>
  </si>
  <si>
    <t xml:space="preserve">B2</t>
  </si>
  <si>
    <t xml:space="preserve">How many distinct users do we have by company type?</t>
  </si>
  <si>
    <t xml:space="preserve">startup: 10, msme: 3</t>
  </si>
  <si>
    <t xml:space="preserve">event-grained table; must dedupe userid</t>
  </si>
  <si>
    <t xml:space="preserve">B3</t>
  </si>
  <si>
    <t xml:space="preserve">How many users have had AI conversations?</t>
  </si>
  <si>
    <t xml:space="preserve">2</t>
  </si>
  <si>
    <t xml:space="preserve">8</t>
  </si>
  <si>
    <t xml:space="preserve">message_query non-null = 8 rows but only 2 distinct users</t>
  </si>
  <si>
    <t xml:space="preserve">B4</t>
  </si>
  <si>
    <t xml:space="preserve">Show signup counts by month.</t>
  </si>
  <si>
    <t xml:space="preserve">2026-02: 6</t>
  </si>
  <si>
    <t xml:space="preserve">activity_type='signup' + COUNT(DISTINCT userid); signup activity only appears in Feb 2026</t>
  </si>
  <si>
    <t xml:space="preserve">C1</t>
  </si>
  <si>
    <t xml:space="preserve">Normalization</t>
  </si>
  <si>
    <t xml:space="preserve">Compare ATTENDED vs NOSHOW for Round Tables vs Expert Sessions.</t>
  </si>
  <si>
    <t xml:space="preserve">normalize</t>
  </si>
  <si>
    <t xml:space="preserve">expertSession_ATTENDED: 27, expertSession_NOSHOW: 80, roundTable_NOSHOW: 18</t>
  </si>
  <si>
    <t xml:space="preserve">'Round Table'-&gt;roundTable, 'Expert Session'-&gt;expertSession; round tables have 0 ATTENDED</t>
  </si>
  <si>
    <t xml:space="preserve">C2</t>
  </si>
  <si>
    <t xml:space="preserve">How many participants registered for Pitch Mastery sessions, by status?</t>
  </si>
  <si>
    <t xml:space="preserve">NOSHOW: 10</t>
  </si>
  <si>
    <t xml:space="preserve">'Pitch Mastery'-&gt;gapkey='PitchMastery'; all 10 are NOSHOW</t>
  </si>
  <si>
    <t xml:space="preserve">C3</t>
  </si>
  <si>
    <t xml:space="preserve">What is the visibility split of mentors in the Ignite program?</t>
  </si>
  <si>
    <t xml:space="preserve">PUBLIC: 16</t>
  </si>
  <si>
    <t xml:space="preserve">'Ignite'-&gt;program='ignite' (lowercase); all PUBLIC</t>
  </si>
  <si>
    <t xml:space="preserve">C4</t>
  </si>
  <si>
    <t xml:space="preserve">How many distinct users signed up via EEPC through the Emailer medium?</t>
  </si>
  <si>
    <t xml:space="preserve">1</t>
  </si>
  <si>
    <t xml:space="preserve">EEPC pairs with 'Emailer', distinct from 'Email'</t>
  </si>
  <si>
    <t xml:space="preserve">D1</t>
  </si>
  <si>
    <t xml:space="preserve">Correctly-empty</t>
  </si>
  <si>
    <t xml:space="preserve">How many users signed up via DevX through the social medium?</t>
  </si>
  <si>
    <t xml:space="preserve">user, liftoffx</t>
  </si>
  <si>
    <t xml:space="preserve">correctly_empty</t>
  </si>
  <si>
    <t xml:space="preserve">0</t>
  </si>
  <si>
    <t xml:space="preserve">DevX only ever arrived via medium 'Email', never 'social' -&gt; explain, don't blank</t>
  </si>
  <si>
    <t xml:space="preserve">D2</t>
  </si>
  <si>
    <t xml:space="preserve">Show EEPC signups that came through the Email medium.</t>
  </si>
  <si>
    <t xml:space="preserve">EEPC uses 'Emailer'; 'Email' belongs to other sources -&gt; value mismatch, legitimately 0</t>
  </si>
  <si>
    <t xml:space="preserve">D3</t>
  </si>
  <si>
    <t xml:space="preserve">List PENDING mentors with INTERNAL visibility in the Ignite program.</t>
  </si>
  <si>
    <t xml:space="preserve">valid filters, zero overlap in data -&gt; report 'no matches', not error</t>
  </si>
  <si>
    <t xml:space="preserve">D4</t>
  </si>
  <si>
    <t xml:space="preserve">Who attended a Round Table on Competitive Strategy?</t>
  </si>
  <si>
    <t xml:space="preserve">CompetitiveStrategy exists but not as a roundTable -&gt; 0</t>
  </si>
  <si>
    <t xml:space="preserve">D5</t>
  </si>
  <si>
    <t xml:space="preserve">Show startup signups in the last 3 months.</t>
  </si>
  <si>
    <t xml:space="preserve">data ends 2026-02-17; window is empty -&gt; state the data range</t>
  </si>
  <si>
    <t xml:space="preserve">D6</t>
  </si>
  <si>
    <t xml:space="preserve">Who attended a Pitch Mastery session in Liftoff-Propel?</t>
  </si>
  <si>
    <t xml:space="preserve">5 such participants exist but all NOSHOW -&gt; 0 attended</t>
  </si>
  <si>
    <t xml:space="preserve">E1</t>
  </si>
  <si>
    <t xml:space="preserve">Unanswerable</t>
  </si>
  <si>
    <t xml:space="preserve">Which event did each liftoffX user attend?</t>
  </si>
  <si>
    <t xml:space="preserve">unanswerable</t>
  </si>
  <si>
    <t xml:space="preserve">liftoffx.event_id is 100% NULL</t>
  </si>
  <si>
    <t xml:space="preserve">cannot link liftoffX activity to events from this table -&gt; decline/route to events table</t>
  </si>
  <si>
    <t xml:space="preserve">E2</t>
  </si>
  <si>
    <t xml:space="preserve">List event participants based outside India.</t>
  </si>
  <si>
    <t xml:space="preserve">events.country is 100% NULL</t>
  </si>
  <si>
    <t xml:space="preserve">no country data on events -&gt; cannot filter; clarify</t>
  </si>
  <si>
    <t xml:space="preserve">E3</t>
  </si>
  <si>
    <t xml:space="preserve">For users who attended a live event, show their liftoffX activity counts.</t>
  </si>
  <si>
    <t xml:space="preserve">liftoffx, events</t>
  </si>
  <si>
    <t xml:space="preserve">liftoffx.userid and events.participant_user_id have 0 overlap</t>
  </si>
  <si>
    <t xml:space="preserve">join returns empty regardless of filters -&gt; flag the join gap, not a blank result</t>
  </si>
  <si>
    <t xml:space="preserve">E4</t>
  </si>
  <si>
    <t xml:space="preserve">Show drop-off at each user journey stage.</t>
  </si>
  <si>
    <t xml:space="preserve">no journey-stage column exists in any table</t>
  </si>
  <si>
    <t xml:space="preserve">offer activity_type distribution as the only available proxy</t>
  </si>
  <si>
    <t xml:space="preserve">How to score each behavior</t>
  </si>
  <si>
    <t xml:space="preserve">Behavior</t>
  </si>
  <si>
    <t xml:space="preserve">Pass condition</t>
  </si>
  <si>
    <t xml:space="preserve">Failure mode it catches</t>
  </si>
  <si>
    <t xml:space="preserve">Happy path (rows)</t>
  </si>
  <si>
    <t xml:space="preserve">Generated SQL is correct AND result matches Expected Value.</t>
  </si>
  <si>
    <t xml:space="preserve">Wrong columns, missing filters.</t>
  </si>
  <si>
    <t xml:space="preserve">Uses COUNT(DISTINCT userid) on liftoffX; result matches (not the Wrong If value).</t>
  </si>
  <si>
    <t xml:space="preserve">Over-counting because liftoffX is event-grained (200 rows = 14 users).</t>
  </si>
  <si>
    <t xml:space="preserve">NL term mapped to the stored enum (e.g. Round Table-&gt;roundTable, Email != Emailer).</t>
  </si>
  <si>
    <t xml:space="preserve">Silent zero rows from value-string mismatch.</t>
  </si>
  <si>
    <t xml:space="preserve">Query is valid and returns 0 rows; bot EXPLAINS the zero (date range, value mismatch, no overlap).</t>
  </si>
  <si>
    <t xml:space="preserve">Returning a blank table with no explanation — the original "no response" bucket.</t>
  </si>
  <si>
    <t xml:space="preserve">Bot DECLINES or asks to clarify.</t>
  </si>
  <si>
    <t xml:space="preserve">Fabricating an answer over null columns or non-joining keys — the worst failure.</t>
  </si>
  <si>
    <t xml:space="preserve">Coverage by behavior</t>
  </si>
  <si>
    <t xml:space="preserve"># Cases</t>
  </si>
  <si>
    <t xml:space="preserve">Case IDs</t>
  </si>
  <si>
    <t xml:space="preserve">A1, A2, A3, A4, A5, A6</t>
  </si>
  <si>
    <t xml:space="preserve">B1, B2, B3, B4</t>
  </si>
  <si>
    <t xml:space="preserve">C1, C2, C3, C4</t>
  </si>
  <si>
    <t xml:space="preserve">D1, D2, D3, D4, D5, D6</t>
  </si>
  <si>
    <t xml:space="preserve">E1, E2, E3, E4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</si>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</sst>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FCE4D6"/>
      </patternFill>
    </fill>
    <fill>
      <patternFill patternType="solid">
        <fgColor rgb="FFDEEAF6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D9E1F2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2" hidden="false" customHeight="true" outlineLevel="0" collapsed="false">
      <c r="A5" s="4" t="s">
        <v>10</v>
      </c>
      <c r="B5" s="5" t="s">
        <v>11</v>
      </c>
      <c r="C5" s="6" t="s">
        <v>12</v>
      </c>
      <c r="D5" s="6" t="s">
        <v>13</v>
      </c>
      <c r="E5" s="7" t="s">
        <v>14</v>
      </c>
      <c r="F5" s="6" t="s">
        <v>15</v>
      </c>
      <c r="G5" s="4"/>
      <c r="H5" s="6" t="s">
        <v>16</v>
      </c>
    </row>
    <row r="6" customFormat="false" ht="42" hidden="false" customHeight="true" outlineLevel="0" collapsed="false">
      <c r="A6" s="4" t="s">
        <v>17</v>
      </c>
      <c r="B6" s="5" t="s">
        <v>11</v>
      </c>
      <c r="C6" s="6" t="s">
        <v>18</v>
      </c>
      <c r="D6" s="6" t="s">
        <v>13</v>
      </c>
      <c r="E6" s="7" t="s">
        <v>14</v>
      </c>
      <c r="F6" s="6" t="s">
        <v>19</v>
      </c>
      <c r="G6" s="4"/>
      <c r="H6" s="6" t="s">
        <v>20</v>
      </c>
    </row>
    <row r="7" customFormat="false" ht="42" hidden="false" customHeight="true" outlineLevel="0" collapsed="false">
      <c r="A7" s="4" t="s">
        <v>21</v>
      </c>
      <c r="B7" s="5" t="s">
        <v>11</v>
      </c>
      <c r="C7" s="6" t="s">
        <v>22</v>
      </c>
      <c r="D7" s="6" t="s">
        <v>13</v>
      </c>
      <c r="E7" s="7" t="s">
        <v>14</v>
      </c>
      <c r="F7" s="6" t="s">
        <v>23</v>
      </c>
      <c r="G7" s="4"/>
      <c r="H7" s="6" t="s">
        <v>24</v>
      </c>
    </row>
    <row r="8" customFormat="false" ht="42" hidden="false" customHeight="true" outlineLevel="0" collapsed="false">
      <c r="A8" s="4" t="s">
        <v>25</v>
      </c>
      <c r="B8" s="5" t="s">
        <v>11</v>
      </c>
      <c r="C8" s="6" t="s">
        <v>26</v>
      </c>
      <c r="D8" s="6" t="s">
        <v>13</v>
      </c>
      <c r="E8" s="7" t="s">
        <v>14</v>
      </c>
      <c r="F8" s="6" t="s">
        <v>27</v>
      </c>
      <c r="G8" s="4"/>
      <c r="H8" s="6" t="s">
        <v>28</v>
      </c>
    </row>
    <row r="9" customFormat="false" ht="42" hidden="false" customHeight="true" outlineLevel="0" collapsed="false">
      <c r="A9" s="4" t="s">
        <v>29</v>
      </c>
      <c r="B9" s="5" t="s">
        <v>11</v>
      </c>
      <c r="C9" s="6" t="s">
        <v>30</v>
      </c>
      <c r="D9" s="6" t="s">
        <v>31</v>
      </c>
      <c r="E9" s="7" t="s">
        <v>14</v>
      </c>
      <c r="F9" s="6" t="s">
        <v>32</v>
      </c>
      <c r="G9" s="4"/>
      <c r="H9" s="6" t="s">
        <v>33</v>
      </c>
    </row>
    <row r="10" customFormat="false" ht="42" hidden="false" customHeight="true" outlineLevel="0" collapsed="false">
      <c r="A10" s="4" t="s">
        <v>34</v>
      </c>
      <c r="B10" s="5" t="s">
        <v>11</v>
      </c>
      <c r="C10" s="6" t="s">
        <v>35</v>
      </c>
      <c r="D10" s="6" t="s">
        <v>31</v>
      </c>
      <c r="E10" s="7" t="s">
        <v>14</v>
      </c>
      <c r="F10" s="6" t="s">
        <v>36</v>
      </c>
      <c r="G10" s="4"/>
      <c r="H10" s="6" t="s">
        <v>37</v>
      </c>
    </row>
    <row r="11" customFormat="false" ht="42" hidden="false" customHeight="true" outlineLevel="0" collapsed="false">
      <c r="A11" s="4" t="s">
        <v>38</v>
      </c>
      <c r="B11" s="8" t="s">
        <v>39</v>
      </c>
      <c r="C11" s="6" t="s">
        <v>40</v>
      </c>
      <c r="D11" s="6" t="s">
        <v>41</v>
      </c>
      <c r="E11" s="9" t="s">
        <v>42</v>
      </c>
      <c r="F11" s="6" t="s">
        <v>43</v>
      </c>
      <c r="G11" s="4" t="s">
        <v>44</v>
      </c>
      <c r="H11" s="6" t="s">
        <v>45</v>
      </c>
    </row>
    <row r="12" customFormat="false" ht="42" hidden="false" customHeight="true" outlineLevel="0" collapsed="false">
      <c r="A12" s="4" t="s">
        <v>46</v>
      </c>
      <c r="B12" s="8" t="s">
        <v>39</v>
      </c>
      <c r="C12" s="6" t="s">
        <v>47</v>
      </c>
      <c r="D12" s="6" t="s">
        <v>41</v>
      </c>
      <c r="E12" s="9" t="s">
        <v>42</v>
      </c>
      <c r="F12" s="6" t="s">
        <v>48</v>
      </c>
      <c r="G12" s="4"/>
      <c r="H12" s="6" t="s">
        <v>49</v>
      </c>
    </row>
    <row r="13" customFormat="false" ht="42" hidden="false" customHeight="true" outlineLevel="0" collapsed="false">
      <c r="A13" s="4" t="s">
        <v>50</v>
      </c>
      <c r="B13" s="8" t="s">
        <v>39</v>
      </c>
      <c r="C13" s="6" t="s">
        <v>51</v>
      </c>
      <c r="D13" s="6" t="s">
        <v>41</v>
      </c>
      <c r="E13" s="9" t="s">
        <v>42</v>
      </c>
      <c r="F13" s="6" t="s">
        <v>52</v>
      </c>
      <c r="G13" s="4" t="s">
        <v>53</v>
      </c>
      <c r="H13" s="6" t="s">
        <v>54</v>
      </c>
    </row>
    <row r="14" customFormat="false" ht="42" hidden="false" customHeight="true" outlineLevel="0" collapsed="false">
      <c r="A14" s="4" t="s">
        <v>55</v>
      </c>
      <c r="B14" s="8" t="s">
        <v>39</v>
      </c>
      <c r="C14" s="6" t="s">
        <v>56</v>
      </c>
      <c r="D14" s="6" t="s">
        <v>41</v>
      </c>
      <c r="E14" s="9" t="s">
        <v>42</v>
      </c>
      <c r="F14" s="6" t="s">
        <v>57</v>
      </c>
      <c r="G14" s="4"/>
      <c r="H14" s="6" t="s">
        <v>58</v>
      </c>
    </row>
    <row r="15" customFormat="false" ht="42" hidden="false" customHeight="true" outlineLevel="0" collapsed="false">
      <c r="A15" s="4" t="s">
        <v>59</v>
      </c>
      <c r="B15" s="10" t="s">
        <v>60</v>
      </c>
      <c r="C15" s="6" t="s">
        <v>61</v>
      </c>
      <c r="D15" s="6" t="s">
        <v>31</v>
      </c>
      <c r="E15" s="11" t="s">
        <v>62</v>
      </c>
      <c r="F15" s="6" t="s">
        <v>63</v>
      </c>
      <c r="G15" s="4"/>
      <c r="H15" s="6" t="s">
        <v>64</v>
      </c>
    </row>
    <row r="16" customFormat="false" ht="42" hidden="false" customHeight="true" outlineLevel="0" collapsed="false">
      <c r="A16" s="4" t="s">
        <v>65</v>
      </c>
      <c r="B16" s="10" t="s">
        <v>60</v>
      </c>
      <c r="C16" s="6" t="s">
        <v>66</v>
      </c>
      <c r="D16" s="6" t="s">
        <v>31</v>
      </c>
      <c r="E16" s="11" t="s">
        <v>62</v>
      </c>
      <c r="F16" s="6" t="s">
        <v>67</v>
      </c>
      <c r="G16" s="4"/>
      <c r="H16" s="6" t="s">
        <v>68</v>
      </c>
    </row>
    <row r="17" customFormat="false" ht="42" hidden="false" customHeight="true" outlineLevel="0" collapsed="false">
      <c r="A17" s="4" t="s">
        <v>69</v>
      </c>
      <c r="B17" s="10" t="s">
        <v>60</v>
      </c>
      <c r="C17" s="6" t="s">
        <v>70</v>
      </c>
      <c r="D17" s="6" t="s">
        <v>13</v>
      </c>
      <c r="E17" s="11" t="s">
        <v>62</v>
      </c>
      <c r="F17" s="6" t="s">
        <v>71</v>
      </c>
      <c r="G17" s="4"/>
      <c r="H17" s="6" t="s">
        <v>72</v>
      </c>
    </row>
    <row r="18" customFormat="false" ht="42" hidden="false" customHeight="true" outlineLevel="0" collapsed="false">
      <c r="A18" s="4" t="s">
        <v>73</v>
      </c>
      <c r="B18" s="10" t="s">
        <v>60</v>
      </c>
      <c r="C18" s="6" t="s">
        <v>74</v>
      </c>
      <c r="D18" s="6" t="s">
        <v>41</v>
      </c>
      <c r="E18" s="11" t="s">
        <v>62</v>
      </c>
      <c r="F18" s="6" t="s">
        <v>75</v>
      </c>
      <c r="G18" s="4"/>
      <c r="H18" s="6" t="s">
        <v>76</v>
      </c>
    </row>
    <row r="19" customFormat="false" ht="42" hidden="false" customHeight="true" outlineLevel="0" collapsed="false">
      <c r="A19" s="4" t="s">
        <v>77</v>
      </c>
      <c r="B19" s="12" t="s">
        <v>78</v>
      </c>
      <c r="C19" s="6" t="s">
        <v>79</v>
      </c>
      <c r="D19" s="6" t="s">
        <v>80</v>
      </c>
      <c r="E19" s="13" t="s">
        <v>81</v>
      </c>
      <c r="F19" s="6" t="s">
        <v>82</v>
      </c>
      <c r="G19" s="4"/>
      <c r="H19" s="6" t="s">
        <v>83</v>
      </c>
    </row>
    <row r="20" customFormat="false" ht="42" hidden="false" customHeight="true" outlineLevel="0" collapsed="false">
      <c r="A20" s="4" t="s">
        <v>84</v>
      </c>
      <c r="B20" s="12" t="s">
        <v>78</v>
      </c>
      <c r="C20" s="6" t="s">
        <v>85</v>
      </c>
      <c r="D20" s="6" t="s">
        <v>41</v>
      </c>
      <c r="E20" s="13" t="s">
        <v>81</v>
      </c>
      <c r="F20" s="6" t="s">
        <v>82</v>
      </c>
      <c r="G20" s="4"/>
      <c r="H20" s="6" t="s">
        <v>86</v>
      </c>
    </row>
    <row r="21" customFormat="false" ht="42" hidden="false" customHeight="true" outlineLevel="0" collapsed="false">
      <c r="A21" s="4" t="s">
        <v>87</v>
      </c>
      <c r="B21" s="12" t="s">
        <v>78</v>
      </c>
      <c r="C21" s="6" t="s">
        <v>88</v>
      </c>
      <c r="D21" s="6" t="s">
        <v>13</v>
      </c>
      <c r="E21" s="13" t="s">
        <v>81</v>
      </c>
      <c r="F21" s="6" t="s">
        <v>82</v>
      </c>
      <c r="G21" s="4"/>
      <c r="H21" s="6" t="s">
        <v>89</v>
      </c>
    </row>
    <row r="22" customFormat="false" ht="42" hidden="false" customHeight="true" outlineLevel="0" collapsed="false">
      <c r="A22" s="4" t="s">
        <v>90</v>
      </c>
      <c r="B22" s="12" t="s">
        <v>78</v>
      </c>
      <c r="C22" s="6" t="s">
        <v>91</v>
      </c>
      <c r="D22" s="6" t="s">
        <v>31</v>
      </c>
      <c r="E22" s="13" t="s">
        <v>81</v>
      </c>
      <c r="F22" s="6" t="s">
        <v>82</v>
      </c>
      <c r="G22" s="4"/>
      <c r="H22" s="6" t="s">
        <v>92</v>
      </c>
    </row>
    <row r="23" customFormat="false" ht="42" hidden="false" customHeight="true" outlineLevel="0" collapsed="false">
      <c r="A23" s="4" t="s">
        <v>93</v>
      </c>
      <c r="B23" s="12" t="s">
        <v>78</v>
      </c>
      <c r="C23" s="6" t="s">
        <v>94</v>
      </c>
      <c r="D23" s="6" t="s">
        <v>41</v>
      </c>
      <c r="E23" s="13" t="s">
        <v>81</v>
      </c>
      <c r="F23" s="6" t="s">
        <v>82</v>
      </c>
      <c r="G23" s="4"/>
      <c r="H23" s="6" t="s">
        <v>95</v>
      </c>
    </row>
    <row r="24" customFormat="false" ht="42" hidden="false" customHeight="true" outlineLevel="0" collapsed="false">
      <c r="A24" s="4" t="s">
        <v>96</v>
      </c>
      <c r="B24" s="12" t="s">
        <v>78</v>
      </c>
      <c r="C24" s="6" t="s">
        <v>97</v>
      </c>
      <c r="D24" s="6" t="s">
        <v>31</v>
      </c>
      <c r="E24" s="13" t="s">
        <v>81</v>
      </c>
      <c r="F24" s="6" t="s">
        <v>82</v>
      </c>
      <c r="G24" s="4"/>
      <c r="H24" s="6" t="s">
        <v>98</v>
      </c>
    </row>
    <row r="25" customFormat="false" ht="42" hidden="false" customHeight="true" outlineLevel="0" collapsed="false">
      <c r="A25" s="4" t="s">
        <v>99</v>
      </c>
      <c r="B25" s="14" t="s">
        <v>100</v>
      </c>
      <c r="C25" s="6" t="s">
        <v>101</v>
      </c>
      <c r="D25" s="6" t="s">
        <v>41</v>
      </c>
      <c r="E25" s="15" t="s">
        <v>102</v>
      </c>
      <c r="F25" s="6" t="s">
        <v>103</v>
      </c>
      <c r="G25" s="4"/>
      <c r="H25" s="6" t="s">
        <v>104</v>
      </c>
    </row>
    <row r="26" customFormat="false" ht="42" hidden="false" customHeight="true" outlineLevel="0" collapsed="false">
      <c r="A26" s="4" t="s">
        <v>105</v>
      </c>
      <c r="B26" s="14" t="s">
        <v>100</v>
      </c>
      <c r="C26" s="6" t="s">
        <v>106</v>
      </c>
      <c r="D26" s="6" t="s">
        <v>31</v>
      </c>
      <c r="E26" s="15" t="s">
        <v>102</v>
      </c>
      <c r="F26" s="6" t="s">
        <v>107</v>
      </c>
      <c r="G26" s="4"/>
      <c r="H26" s="6" t="s">
        <v>108</v>
      </c>
    </row>
    <row r="27" customFormat="false" ht="42" hidden="false" customHeight="true" outlineLevel="0" collapsed="false">
      <c r="A27" s="4" t="s">
        <v>109</v>
      </c>
      <c r="B27" s="14" t="s">
        <v>100</v>
      </c>
      <c r="C27" s="6" t="s">
        <v>110</v>
      </c>
      <c r="D27" s="6" t="s">
        <v>111</v>
      </c>
      <c r="E27" s="15" t="s">
        <v>102</v>
      </c>
      <c r="F27" s="6" t="s">
        <v>112</v>
      </c>
      <c r="G27" s="4"/>
      <c r="H27" s="6" t="s">
        <v>113</v>
      </c>
    </row>
    <row r="28" customFormat="false" ht="42" hidden="false" customHeight="true" outlineLevel="0" collapsed="false">
      <c r="A28" s="4" t="s">
        <v>114</v>
      </c>
      <c r="B28" s="14" t="s">
        <v>100</v>
      </c>
      <c r="C28" s="6" t="s">
        <v>115</v>
      </c>
      <c r="D28" s="6" t="s">
        <v>80</v>
      </c>
      <c r="E28" s="15" t="s">
        <v>102</v>
      </c>
      <c r="F28" s="6" t="s">
        <v>116</v>
      </c>
      <c r="G28" s="4"/>
      <c r="H28" s="6" t="s">
        <v>117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118</v>
      </c>
      <c r="B1" s="1"/>
      <c r="C1" s="1"/>
    </row>
    <row r="3" customFormat="false" ht="27.75" hidden="false" customHeight="true" outlineLevel="0" collapsed="false">
      <c r="A3" s="3" t="s">
        <v>119</v>
      </c>
      <c r="B3" s="3" t="s">
        <v>120</v>
      </c>
      <c r="C3" s="3" t="s">
        <v>121</v>
      </c>
    </row>
    <row r="4" customFormat="false" ht="48" hidden="false" customHeight="true" outlineLevel="0" collapsed="false">
      <c r="A4" s="16" t="s">
        <v>122</v>
      </c>
      <c r="B4" s="6" t="s">
        <v>123</v>
      </c>
      <c r="C4" s="6" t="s">
        <v>124</v>
      </c>
    </row>
    <row r="5" customFormat="false" ht="48" hidden="false" customHeight="true" outlineLevel="0" collapsed="false">
      <c r="A5" s="16" t="s">
        <v>39</v>
      </c>
      <c r="B5" s="6" t="s">
        <v>125</v>
      </c>
      <c r="C5" s="6" t="s">
        <v>126</v>
      </c>
    </row>
    <row r="6" customFormat="false" ht="48" hidden="false" customHeight="true" outlineLevel="0" collapsed="false">
      <c r="A6" s="16" t="s">
        <v>60</v>
      </c>
      <c r="B6" s="6" t="s">
        <v>127</v>
      </c>
      <c r="C6" s="6" t="s">
        <v>128</v>
      </c>
    </row>
    <row r="7" customFormat="false" ht="48" hidden="false" customHeight="true" outlineLevel="0" collapsed="false">
      <c r="A7" s="16" t="s">
        <v>78</v>
      </c>
      <c r="B7" s="6" t="s">
        <v>129</v>
      </c>
      <c r="C7" s="6" t="s">
        <v>130</v>
      </c>
    </row>
    <row r="8" customFormat="false" ht="48" hidden="false" customHeight="true" outlineLevel="0" collapsed="false">
      <c r="A8" s="16" t="s">
        <v>100</v>
      </c>
      <c r="B8" s="6" t="s">
        <v>131</v>
      </c>
      <c r="C8" s="6" t="s">
        <v>132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133</v>
      </c>
      <c r="B1" s="1"/>
      <c r="C1" s="1"/>
    </row>
    <row r="3" customFormat="false" ht="27.75" hidden="false" customHeight="true" outlineLevel="0" collapsed="false">
      <c r="A3" s="3" t="s">
        <v>119</v>
      </c>
      <c r="B3" s="3" t="s">
        <v>134</v>
      </c>
      <c r="C3" s="3" t="s">
        <v>135</v>
      </c>
    </row>
    <row r="4" customFormat="false" ht="15" hidden="false" customHeight="false" outlineLevel="0" collapsed="false">
      <c r="A4" s="5" t="s">
        <v>11</v>
      </c>
      <c r="B4" s="4" t="n">
        <v>6</v>
      </c>
      <c r="C4" s="6" t="s">
        <v>136</v>
      </c>
    </row>
    <row r="5" customFormat="false" ht="15" hidden="false" customHeight="false" outlineLevel="0" collapsed="false">
      <c r="A5" s="8" t="s">
        <v>39</v>
      </c>
      <c r="B5" s="4" t="n">
        <v>4</v>
      </c>
      <c r="C5" s="6" t="s">
        <v>137</v>
      </c>
    </row>
    <row r="6" customFormat="false" ht="15" hidden="false" customHeight="false" outlineLevel="0" collapsed="false">
      <c r="A6" s="10" t="s">
        <v>60</v>
      </c>
      <c r="B6" s="4" t="n">
        <v>4</v>
      </c>
      <c r="C6" s="6" t="s">
        <v>138</v>
      </c>
    </row>
    <row r="7" customFormat="false" ht="15" hidden="false" customHeight="false" outlineLevel="0" collapsed="false">
      <c r="A7" s="12" t="s">
        <v>78</v>
      </c>
      <c r="B7" s="4" t="n">
        <v>6</v>
      </c>
      <c r="C7" s="6" t="s">
        <v>139</v>
      </c>
    </row>
    <row r="8" customFormat="false" ht="15" hidden="false" customHeight="false" outlineLevel="0" collapsed="false">
      <c r="A8" s="14" t="s">
        <v>100</v>
      </c>
      <c r="B8" s="4" t="n">
        <v>4</v>
      </c>
      <c r="C8" s="6" t="s">
        <v>140</v>
      </c>
    </row>
    <row r="9" customFormat="false" ht="15" hidden="false" customHeight="false" outlineLevel="0" collapsed="false">
      <c r="A9" s="17" t="s">
        <v>141</v>
      </c>
      <c r="B9" s="18" t="n">
        <f aca="false">SUM(B4:B8)</f>
        <v>24</v>
      </c>
      <c r="C9" s="19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2026-06-23T10:50:35Z</dcterms:created>
  <dc:creator>openpyxl</dc:creator>
  <dc:description/>
  <dc:language>en-US</dc:language>
  <cp:lastModifiedBy/>
  <dcterms:modified xsi:type="dcterms:W3CDTF">2026-06-23T10:50:35Z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