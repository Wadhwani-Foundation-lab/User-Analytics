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30"/>
  <workbookPr/>
  <mc:AlternateContent xmlns:mc="http://schemas.openxmlformats.org/markup-compatibility/2006">
    <mc:Choice Requires="x15">
      <x15ac:absPath xmlns:x15ac="http://schemas.microsoft.com/office/spreadsheetml/2010/11/ac" url="https://wadhwanifoundation-my.sharepoint.com/personal/gagandeep_nagra_wadhwanifoundation_org/Documents/"/>
    </mc:Choice>
  </mc:AlternateContent>
  <xr:revisionPtr revIDLastSave="0" documentId="8_{DE907CE6-4D80-4C28-AB25-8D827086CEB7}" xr6:coauthVersionLast="47" xr6:coauthVersionMax="47" xr10:uidLastSave="{00000000-0000-0000-0000-000000000000}"/>
  <bookViews>
    <workbookView xWindow="0" yWindow="500" windowWidth="33440" windowHeight="20100" tabRatio="500" xr2:uid="{00000000-000D-0000-FFFF-FFFF00000000}"/>
  </bookViews>
  <sheets>
    <sheet name="Test Questions" sheetId="1" r:id="rId1"/>
    <sheet name="Filter Dimensions Reference" sheetId="2" r:id="rId2"/>
    <sheet name="Summary" sheetId="3" r:id="rId3"/>
  </sheets>
  <definedNames>
    <definedName name="_xlnm._FilterDatabase" localSheetId="0" hidden="1">'Test Questions'!$A$1:$E$1</definedName>
  </definedNames>
  <calcPr calcId="191028"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B4" i="3" l="1"/>
  <c r="B3" i="3"/>
</calcChain>
</file>

<file path=xl/sharedStrings.xml><?xml version="1.0" encoding="utf-8"?>
<sst xmlns="http://schemas.openxmlformats.org/spreadsheetml/2006/main" count="592" uniqueCount="384">
  <si>
    <t>#</t>
  </si>
  <si>
    <t>Category</t>
  </si>
  <si>
    <t>Test Question</t>
  </si>
  <si>
    <t>Source Table(s)</t>
  </si>
  <si>
    <t>Filter Dimensions Used</t>
  </si>
  <si>
    <t>Response</t>
  </si>
  <si>
    <t>Multi-Filter Signup &amp; Registration Queries</t>
  </si>
  <si>
    <t>How many MSME ventures in the pre-revenue stage signed up between October 2025 and January 2026 through the Email medium?</t>
  </si>
  <si>
    <t>nep_liftoffX_data_sample, nep_master_user_table_sample_data</t>
  </si>
  <si>
    <t>company_type, company_revenue_range, signup_date/signup_month_year, traffic_source_medium</t>
  </si>
  <si>
    <t>There were **0** MSME ventures in the pre-revenue stage who signed up between October 2025 and January 2026 through the Email medium.</t>
  </si>
  <si>
    <t>Show me week-over-week signup trends for startup-type users only, broken down by revenue range, for the last 3 months.</t>
  </si>
  <si>
    <t>nep_liftoffX_data_sample</t>
  </si>
  <si>
    <t>company_type, company_revenue_range, week_range, signup_month_year</t>
  </si>
  <si>
    <t>graph shown with incomplete label info</t>
  </si>
  <si>
    <t>How many External Users from the EEPC traffic source signed up in January 2026 and have a completed profile status?</t>
  </si>
  <si>
    <t>user_type, traffic_source_source, signup_month_year, profile_status</t>
  </si>
  <si>
    <t>There were **0** External Users from the EEPC traffic source who signed up in January 2026 with a completed profile status.</t>
  </si>
  <si>
    <t>Compare signup counts for startups vs MSMEs, filtered to only pre-revenue and 1-5 crore revenue ranges, grouped by signup month.</t>
  </si>
  <si>
    <t>company_type, company_revenue_range, signup_month_year</t>
  </si>
  <si>
    <t xml:space="preserve"> Database query failed: {'message': 'column "month_year" does not exist', 'code': '42703', 'hint': None, 'details': None} | SQL: SELECT month_year, month_year_order, company_type, company_revenue_range, COUNT(DISTINCT user_id) AS signups FROM nep_master_user_table_sample_data WHERE company_type IN ('startup', 'msme') AND company_revenue_range IN ('pre-revenue', '1-crore-to-5-crore') GROUP BY month_year, month_year_order, company_type, company_revenue_range ORDER BY month_year_order ASC, company_type, company_revenue_range LIMIT 500</t>
  </si>
  <si>
    <t>Of all users who signed up via the DevX source through the social medium, how many are startups vs MSMEs, and what is their revenue range distribution?</t>
  </si>
  <si>
    <t>nep_master_user_table_sample_data</t>
  </si>
  <si>
    <t>traffic_source_source, traffic_source_medium, company_type, company_revenue_range</t>
  </si>
  <si>
    <t>LLM response could not be parsed: LLM did not return a valid JSON block. Raw response (first 300 chars): You're right — my apologies. Let me provide the actual answer: There were **0 users** who signed up via the DevX source through the social medium in the dataset.
This means there are no startup or MSME users to show in the revenue range distribution for this specific acquisition channel combinatio</t>
  </si>
  <si>
    <t>List all users who signed up in the week of 16 Feb - 22 Feb 2026, are External Users, classified as MSME, and have pre-revenue status.</t>
  </si>
  <si>
    <t>week_range, user_type, company_type, company_revenue_range</t>
  </si>
  <si>
    <t>Email , name provided</t>
  </si>
  <si>
    <t>What is the month-over-month growth rate of new signups, filtered to only External Users in the startup segment with revenue above 5 crore?</t>
  </si>
  <si>
    <t>user_type, company_type, company_revenue_range, signup_month_year</t>
  </si>
  <si>
    <t>AI
⚠️ LLM response could not be parsed: LLM did not return a valid JSON block. Raw response (first 300 chars): Month-over-month growth rate of new signups for External Users in the startup segment with revenue above 5 crore.</t>
  </si>
  <si>
    <t>How many users signed up in 2025 vs 2026, broken down by company type and revenue range simultaneously?</t>
  </si>
  <si>
    <t>signup_year, company_type, company_revenue_range</t>
  </si>
  <si>
    <t>I
⚠️ LLM response could not be parsed: LLM did not return a valid JSON block. Raw response (first 300 chars): User signups in 2025 vs 2026, broken down by company type and revenue range.</t>
  </si>
  <si>
    <t>Multi-Dimensional User Engagement Queries</t>
  </si>
  <si>
    <t>Of all External Users classified as startups with pre-revenue status, how many have performed at least 3 distinct activity types?</t>
  </si>
  <si>
    <t>user_type, company_type, company_revenue_range, activity_type</t>
  </si>
  <si>
    <t>I
**315** External Users classified as startups with pre-revenue status have performed at least 3 distinct activity types.</t>
  </si>
  <si>
    <t>Show me the top 10 AI conversation queries asked by MSME users who signed up after January 2026, along with their response flow state.</t>
  </si>
  <si>
    <t>company_type, signup_month_year, activity_type (message), response_flow_state</t>
  </si>
  <si>
    <t>Ok</t>
  </si>
  <si>
    <t>How many repeat visitors from the startup segment have also clicked on the mentors tab and the Programs section in the same month?</t>
  </si>
  <si>
    <t>activity_type, company_type, ga_event_name, month_year</t>
  </si>
  <si>
    <t>LM response could not be parsed: LLM did not return a valid JSON block. Raw response (first 300 chars): **2** startup users who have visited the platform multiple times (more than once) have also clicked on the mentors tab and the Programs section in the same month.</t>
  </si>
  <si>
    <t>For users who signed up via the Emailer medium, what is the breakdown of activity types filtered by company type?</t>
  </si>
  <si>
    <t>traffic_source_medium, activity_type, company_type</t>
  </si>
  <si>
    <t>⚠️ LLM response could not be parsed: LLM did not return a valid JSON block. Raw response (first 300 chars): Breakdown of activity types by company type for users who signed up via the Emailer medium.</t>
  </si>
  <si>
    <t>Compare the average number of weekly activities between Internal Users and External Users, further segmented by MSME vs startup.</t>
  </si>
  <si>
    <t>user_type, company_type, week_activity_number</t>
  </si>
  <si>
    <t>k</t>
  </si>
  <si>
    <t>How many users who signed up in October 2025 were still active in February 2026, broken down by company type and revenue range?</t>
  </si>
  <si>
    <t>signup_month_year, month_year, company_type, company_revenue_range</t>
  </si>
  <si>
    <t xml:space="preserve"> LLM response could not be parsed: LLM did not return a valid JSON block. Raw response (first 300 chars): Users who signed up in October 2025 and remained active in February 2026, broken down by company type and revenue range.
03:18 pm</t>
  </si>
  <si>
    <t>List all users who sent AI mentor messages, are from the MSME segment with above-5-crore revenue, and signed up before 2026.</t>
  </si>
  <si>
    <t>activity_type (message), company_type, company_revenue_range, signup_year</t>
  </si>
  <si>
    <t>AI
⚠️ LLM response could not be parsed: LLM did not return a valid JSON block. Raw response (first 300 chars): MSME users with above-5-crore revenue who signed up before 2026 and sent AI chat messages.</t>
  </si>
  <si>
    <t>What percentage of External startup users who landed on the homepage also completed the onboarding flow?</t>
  </si>
  <si>
    <t>user_type, company_type, ga_event_name (homepage_landed → onboarding_next_clicked → onboarding_i_understand_clicked)</t>
  </si>
  <si>
    <t>I
⚠️ LLM response could not be parsed: LLM did not return a valid JSON block. Raw response (first 300 chars): Approximately **90.57%** of External startup users who landed on the homepage also completed the onboarding flow.</t>
  </si>
  <si>
    <t>Show me the distribution of GA event types for users who signed up through the meta/social traffic channel, filtered to startup type only.</t>
  </si>
  <si>
    <t>traffic_source_source, traffic_source_medium, company_type, ga_event_name</t>
  </si>
  <si>
    <t>AI
⚠️ LLM response could not be parsed: LLM did not return a valid JSON block. Raw response (first 300 chars): Distribution of GA4 event types (user actions) for startup users who signed up through the meta/social traffic channel.</t>
  </si>
  <si>
    <t>Multi-Filter Mentor Network Queries</t>
  </si>
  <si>
    <t>How many active mentors in the Liftoff-Spark program are based in India, have expertise in the Early Stage, and cover the FinTech industry?</t>
  </si>
  <si>
    <t>nep_mentor_profiles_sample_data</t>
  </si>
  <si>
    <t>user_status, program, country, stage_name, industry_name</t>
  </si>
  <si>
    <t>OK</t>
  </si>
  <si>
    <t>List all EXPERT-type mentors across Liftoff and Liftoff-Propel programs who are based in Maharashtra or Karnataka and have PUBLIC visibility.</t>
  </si>
  <si>
    <t>mentor_type, program, state, visibility</t>
  </si>
  <si>
    <t>ok</t>
  </si>
  <si>
    <t>For each program, show the count of active mentors broken down by country and venture stage expertise.</t>
  </si>
  <si>
    <t>user_status, program, country, stage_name</t>
  </si>
  <si>
    <t>How many mentors with PhD-level degrees are mapped to the Liftoff-Propel program and specialize in EdTech or AI/Big Data industries?</t>
  </si>
  <si>
    <t>degree, program, industry_name</t>
  </si>
  <si>
    <t>Show me all PENDING mentors who have INTERNAL visibility, are in the Ignite program, and are based outside India.</t>
  </si>
  <si>
    <t>user_status, visibility, program, country</t>
  </si>
  <si>
    <t>Compare the industry coverage of mentors in Liftoff-Spark vs Liftoff-Propel, filtered to only ACTIVE mentors with PUBLIC visibility in India.</t>
  </si>
  <si>
    <t>program, user_status, visibility, country, industry_name</t>
  </si>
  <si>
    <t>no data</t>
  </si>
  <si>
    <t>Which cities in India have more than 2 active mentors, and what is their program and industry distribution?</t>
  </si>
  <si>
    <t>country, city, user_status, program, industry_name</t>
  </si>
  <si>
    <t>List mentors in the Liftoff program with expertise for Traction Stage or Demo Stage ventures in the Services or E-Commerce industry.</t>
  </si>
  <si>
    <t>program, stage_name, industry_name</t>
  </si>
  <si>
    <t>How many mentors have employment experience at educational institutions and are mapped to the Ignite program with Early Stage expertise?</t>
  </si>
  <si>
    <t>employer_name/employment_sector, program, stage_name</t>
  </si>
  <si>
    <t>⚠️ LLM response could not be parsed: LLM did not return a valid JSON block. Raw response (first 300 chars): This table shows all active mentors with educational institution employment experience in the Ignite program with Early Stage expertise, including their employment details and contact information</t>
  </si>
  <si>
    <t>Multi-Filter Live Events &amp; Sessions Queries</t>
  </si>
  <si>
    <t>How many Expert Sessions under the Liftoff-Spark program, covering the Business Model Canvas gap area, were completed in December 2025?</t>
  </si>
  <si>
    <t>nep_master_live_events_data</t>
  </si>
  <si>
    <t>sessiontype, program_key, gapkey, event_status, start_date</t>
  </si>
  <si>
    <t>For Round Table sessions in Liftoff-Propel held between Dec 17, 2025 and Jan 10, 2026, what was total registered vs attended participants?</t>
  </si>
  <si>
    <t>sessiontype, program_key, start_date, participant_status</t>
  </si>
  <si>
    <t>Which speakers conducted more than 2 sessions across Liftoff and Liftoff-Spark programs, and what gap areas did they cover?</t>
  </si>
  <si>
    <t>speaker_name, program_key, gapkey</t>
  </si>
  <si>
    <t>⚠️ LLM response could not be parsed: LLM did not return a valid JSON block. Raw response (first 300 chars): Speakers who conducted more than 2 sessions across Liftoff and Liftoff-Spark programs, with their gap area coverage.</t>
  </si>
  <si>
    <t>Show all completed events where gap area is Pitch Mastery or Startup Financials, filtered to Liftoff program, with attendance vs no-show count.</t>
  </si>
  <si>
    <t>event_status, gapkey, program_key, participant_status</t>
  </si>
  <si>
    <t>Compare Expert Sessions vs Round Tables across all three programs, filtered to only completed events in January 2026.</t>
  </si>
  <si>
    <t>sessiontype, program_key, event_status, start_date</t>
  </si>
  <si>
    <t>⚠️ LLM response could not be parsed: LLM did not return a valid JSON block. Raw response (first 300 chars): This table compares Expert Sessions and Round Tables across all three NEP programs (Ignite, Liftoff-Spark, Liftoff-Propel) for completed events in January 2026, showing registration and attendance metrics.</t>
  </si>
  <si>
    <t>List all events by Sriram Chidambaram under Liftoff-Propel, showing gap area, date, session type, and participant count by status.</t>
  </si>
  <si>
    <t>speaker_name, program_key, gapkey, start_date, sessiontype, participant_status</t>
  </si>
  <si>
    <t>⚠️ LLM response could not be parsed: LLM did not return a valid JSON block. Raw response (first 300 chars): All events by Sriram Chidambaram under Liftoff-Propel, showing gap area, date, session type, and participant breakdown by status</t>
  </si>
  <si>
    <t>What is the average attendance rate for events covering Growth Hacking and Customer Retention gap areas, broken down by program and session type?</t>
  </si>
  <si>
    <t>gapkey, program_key, sessiontype, participant_status</t>
  </si>
  <si>
    <t>⚠️ LLM response could not be parsed: LLM did not return a valid JSON block. Raw response (first 300 chars): Average attendance rates for Growth Hacking and Customer Retention gap areas, broken down by program and session type.</t>
  </si>
  <si>
    <t>For events in the first two weeks of January 2026, which gap areas had a no-show rate above 30%, and under which program?</t>
  </si>
  <si>
    <t>start_date, gapkey, program_key, participant_status (NOSHOW)</t>
  </si>
  <si>
    <t>⚠️ LLM response could not be parsed: LLM did not return a valid JSON block. Raw response (first 300 chars): For events in the first two weeks of January 2026, the gap areas that had a no-show rate above 30% were across various programs.</t>
  </si>
  <si>
    <t>Show all events where total registrations exceeded 20, session type was Expert Session, and program was Liftoff-Spark, with speaker details.</t>
  </si>
  <si>
    <t>participant_status (REGISTERED), sessiontype, program_key, speaker_name</t>
  </si>
  <si>
    <t>No data</t>
  </si>
  <si>
    <t>Multi-Filter Event Participant Analytics</t>
  </si>
  <si>
    <t>How many unique participants from India attended at least 2 Expert Sessions in Liftoff-Propel during January 2026?</t>
  </si>
  <si>
    <t>particpant_country, sessiontype, program_key, start_date, participant_status</t>
  </si>
  <si>
    <t>No data found for that query.</t>
  </si>
  <si>
    <t>List all participants who registered for Competitive Strategy or Go-to-Market Strategy events but had a NOSHOW status, grouped by program.</t>
  </si>
  <si>
    <t>gapkey, participant_status, program_key</t>
  </si>
  <si>
    <t>For participants who attended Liftoff-Spark events, what is the distribution of gap areas, filtered to those who attended more than one event?</t>
  </si>
  <si>
    <t>program_key, participant_status, gapkey, participant_user_id</t>
  </si>
  <si>
    <t>Compare ATTENDED vs NOSHOW ratio for Round Tables vs Expert Sessions, filtered to Liftoff program and events in December 2025.</t>
  </si>
  <si>
    <t>participant_status, sessiontype, program_key, start_date</t>
  </si>
  <si>
    <t>Which participants attended events across multiple programs, and how many events did they attend in each?</t>
  </si>
  <si>
    <t>participant_user_id, program_key, participant_status</t>
  </si>
  <si>
    <t>⚠️ Database query failed: {'message': 'DISTINCT is not implemented for window functions', 'code': '0A000', 'hint': None, 'details': None} | SQL: SELECT participant_user_id, participant_first_name, participant_last_name, participant_email, program_key, COUNT(DISTINCT event_id) AS events_attended FROM nep_master_live_events_data WHERE participant_status = 'ATTENDED' AND program_key IS NOT NULL GROUP BY participant_user_id, participant_first_name, participant_last_name, participant_email, program_key HAVING COUNT(DISTINCT program_key) OVER (PARTITION BY participant_user_id) &gt; 1 ORDER BY participant_user_id, program_key LIMIT 500</t>
  </si>
  <si>
    <t>Show all participants from Australia who registered for any event, with event title, gap area, program, and attendance status.</t>
  </si>
  <si>
    <t>particpant_country, participant_status, event_title, gapkey, program_key</t>
  </si>
  <si>
    <t>⚠️ Failed to fetch</t>
  </si>
  <si>
    <t>For Pitch Mastery events in Liftoff-Propel, list participants who attended and also attended at least one other event on a different gap area.</t>
  </si>
  <si>
    <t>gapkey, program_key, participant_status, participant_user_id</t>
  </si>
  <si>
    <t xml:space="preserve">repeats the question withour data </t>
  </si>
  <si>
    <t>What is the no-show rate for events by Neetu Bansal vs Suhas Motwani, filtered to Expert Sessions only, across all programs?</t>
  </si>
  <si>
    <t>speaker_name, sessiontype, participant_status, program_key</t>
  </si>
  <si>
    <t>List top 5 participants by total events attended, showing breakdown by program, session type, and gap area.</t>
  </si>
  <si>
    <t>participant_user_id, participant_status, program_key, sessiontype, gapkey</t>
  </si>
  <si>
    <t>Cross-Program Comparison with Filters</t>
  </si>
  <si>
    <t>Compare total active mentors, completed events, and registered beneficiaries across Liftoff, Liftoff-Spark, and Liftoff-Propel for January 2026.</t>
  </si>
  <si>
    <t>nep_mentor_profiles_sample_data, nep_master_live_events_data, nep_liftoffX_data_sample</t>
  </si>
  <si>
    <t>program/program_key, user_status, event_status, signup_month_year</t>
  </si>
  <si>
    <t xml:space="preserve"> Database query failed: {'message': 'column reference "program_key" is ambiguous', 'code': '42702', 'hint': None, 'details': None} | SQL: SELECT program_key, COUNT(DISTINCT CASE WHEN m.user_status = 'ACTIVE' AND m.deleted = false THEN m.user_id END) AS active_mentors, COUNT(DISTINCT CASE WHEN e.event_status = 'COMPLETED' AND e.start_date &gt;= '2026-01-01' AND e.start_date &lt; '2026-02-01' THEN e.event_id END) AS completed_events, COUNT(DISTINCT CASE WHEN u.created_datetime &gt;= '2026-01-01' AND u.created_datetime &lt; '2026-02-01' THEN u.user_id END) AS registered_beneficiaries FROM (SELECT 'liftoff' AS program_key UNION ALL SELECT 'liftoff-spark' UNION ALL SELECT 'liftoff-propel') p LEFT JOIN nep_mentor_profiles_sample_data m ON m.program LIKE '%' || p.program_key || '%' LEFT JOIN nep_master_live_events_data e ON e.program_key = p.program_key LEFT JOIN nep_master_user_table_sample_data u ON 1=1 GROUP BY program_key ORDER BY program_key LIMIT 500
03:24 pm</t>
  </si>
  <si>
    <t>For each program, show the ratio of EXPERT-type mentors to total active mentors, filtered to India-based with PUBLIC visibility.</t>
  </si>
  <si>
    <t>program, mentor_type, user_status, country, visibility</t>
  </si>
  <si>
    <t>Which program has the highest event attendance rate considering only Expert Sessions covering financial gap areas?</t>
  </si>
  <si>
    <t>sessiontype, gapkey (StartupFinancials, MetricsandAnalytics), program_key, participant_status</t>
  </si>
  <si>
    <t>⚠️ LLM response could not be parsed: LLM did not return a valid JSON block. Raw response (first 300 chars): The query result shows that **Ignite** has the highest attendance rate at **67.57%** for Expert Sessions covering financial gap areas, followed by Liftoff-Spark at 56.25% and Liftoff-Propel at 51.85%.
However, I should note that the attendance rates are relatively close across all three programs, w</t>
  </si>
  <si>
    <t>Compare mentor industry coverage across programs, filtered to only ACTIVE mentors at Early Stage or Traction Stage.</t>
  </si>
  <si>
    <t>user_status, stage_name, program, industry_name</t>
  </si>
  <si>
    <t>For each program, calculate ratio of unique event participants to total registered beneficiaries, filtered to External Users only.</t>
  </si>
  <si>
    <t>nep_master_live_events_data, nep_liftoffX_data_sample</t>
  </si>
  <si>
    <t>program_key, participant_status, user_type</t>
  </si>
  <si>
    <t>⚠️ Database query failed: {'message': 'column u.program_key does not exist', 'code': '42703', 'hint': 'Perhaps you meant to reference the column "e.program_key".', 'details': None} | SQL: SELECT u.program_key, COUNT(DISTINCT u.user_id) AS total_registered_beneficiaries, COUNT(DISTINCT e.participant_user_id) AS unique_event_participants, ROUND(COUNT(DISTINCT e.participant_user_id)::NUMERIC / NULLIF(COUNT(DISTINCT u.user_id), 0) * 100, 2) AS participation_rate_pct FROM nep_master_user_table_sample_data u LEFT JOIN nep_master_live_events_data e ON u.user_id = e.participant_user_id AND e.participant_status IN ('ATTENDED', 'NOSHOW', 'REGISTERED') WHERE u.user_type = 'External Users' GROUP BY u.program_key ORDER BY participation_rate_pct DESC LIMIT 500</t>
  </si>
  <si>
    <t>Across Liftoff-Spark and Liftoff-Propel, which gap areas have been covered by events but have no mentor with matching industry expertise?</t>
  </si>
  <si>
    <t>nep_master_live_events_data, nep_mentor_profiles_sample_data</t>
  </si>
  <si>
    <t>program_key/program, gapkey, industry_name</t>
  </si>
  <si>
    <t>Funnel &amp; Conversion with Layered Filters</t>
  </si>
  <si>
    <t>Of MSME users who signed up via Email medium in January 2026, what % completed profile AND had at least one AI conversation?</t>
  </si>
  <si>
    <t>company_type, traffic_source_medium, signup_month_year, profile_status, activity_type (message)</t>
  </si>
  <si>
    <t>What is the homepage-to-onboarding-to-first-message funnel conversion rate for External startup users who signed up in 2026?</t>
  </si>
  <si>
    <t>user_type, company_type, signup_year, ga_event_name sequence</t>
  </si>
  <si>
    <t>For pre-revenue users, compare signup-to-first-activity conversion time between traffic sources.</t>
  </si>
  <si>
    <t>company_revenue_range, traffic_source_source, signup_date, created_at</t>
  </si>
  <si>
    <t>Of all users with completed profile who are startups, how many went on to register for at least one live event?</t>
  </si>
  <si>
    <t>nep_master_user_table_sample_data, nep_master_live_events_data</t>
  </si>
  <si>
    <t>profile_status, company_type, participant_status (REGISTERED), participant_email/user_email</t>
  </si>
  <si>
    <t>⚠️ LLM response could not be parsed: Failed to parse LLM JSON: Expecting property name enclosed in double quotes: line 1 column 2 (char 1). Raw JSON string: {event_registration_pct}</t>
  </si>
  <si>
    <t>Show drop-off at each user journey stage for MSME pre-revenue users who signed up via Emailer.</t>
  </si>
  <si>
    <t>company_type, company_revenue_range, traffic_source_medium, login_status, profile_status, phone_status, activity_type</t>
  </si>
  <si>
    <t>⚠️ LLM response could not be parsed: LLM did not return a valid JSON block. Raw response (first 300 chars): User journey drop-off analysis for MSME pre-revenue users who signed up via Emailer campaign, showing conversion rates at each stage from signup to profile completion to first activit</t>
  </si>
  <si>
    <t>What is event registration-to-attendance conversion for participants who are also registered platform users, segmented by company type?</t>
  </si>
  <si>
    <t>nep_master_live_events_data, nep_master_user_table_sample_data</t>
  </si>
  <si>
    <t>participant_status, participant_email/user_email, company_type</t>
  </si>
  <si>
    <t>⚠️ LLM response could not be parsed: LLM did not return a valid JSON block. Raw response (first 300 chars): Event registration-to-attendance conversion rates for platform users, segmented by company type (startup vs MSME).</t>
  </si>
  <si>
    <t>H. Traffic Attribution with Multi-Level Filters</t>
  </si>
  <si>
    <t>For EEPC source via Email medium, show monthly signup count broken down by startup vs MSME and revenue range.</t>
  </si>
  <si>
    <t>traffic_source_source, traffic_source_medium, company_type, company_revenue_range, signup_month_year</t>
  </si>
  <si>
    <t>⚠️ LLM response could not be parsed: LLM did not return a valid JSON block. Raw response (first 300 chars): Monthly breakdown of EEPC Email signups by company type and revenue range.</t>
  </si>
  <si>
    <t>Which traffic source/medium/campaign combination produces users with the highest 30-day retention?</t>
  </si>
  <si>
    <t>traffic_source_source, traffic_source_medium, traffic_source_campaign, signup_date, last_active</t>
  </si>
  <si>
    <t>⚠️ LLM response could not be parsed: LLM did not return a valid JSON block. Raw response (first 300 chars): Traffic source/medium/campaign combinations ranked by 30-day retention rate (users active in both their signup month and the following month).</t>
  </si>
  <si>
    <t>Compare activity intensity of users acquired via meta/social vs EEPC/Email, filtered to startup type only.</t>
  </si>
  <si>
    <t>traffic_source_source, traffic_source_medium, company_type, week_activity_number</t>
  </si>
  <si>
    <t>AI⚠️ LLM response could not be parsed: LLM did not return a valid JSON block. Raw response (first 300 chars): Comparison of activity intensity between users acquired via meta/social channels vs EEPC/Email campaigns, filtered to startup type users only.</t>
  </si>
  <si>
    <t>Of users acquired through the test_campaign, how many are MSMEs with pre-revenue status, and what is their profile completion rate?</t>
  </si>
  <si>
    <t>traffic_source_campaign, company_type, company_revenue_range, profile_status</t>
  </si>
  <si>
    <t>⚠️ LLM response could not be parsed: LLM did not return a valid JSON block. Raw response (first 300 chars): MSME pre-revenue users from test_campaign: count and profile completion rate.</t>
  </si>
  <si>
    <t>Show signup-to-engagement funnel for each traffic source, where engagement = at least one AI message, filtered to External Users.</t>
  </si>
  <si>
    <t>traffic_source_source, user_type, activity_type (message)</t>
  </si>
  <si>
    <t>AI
⚠️ LLM response could not be parsed: LLM did not return a valid JSON block. Raw response (first 300 chars): Signup-to-engagement funnel for External Users by traffic source, where engagement = at least one AI message sent.</t>
  </si>
  <si>
    <t>Which traffic source drives the most users who attend at least one live event, broken down by company type?</t>
  </si>
  <si>
    <t>traffic_source_source, company_type, participant_status, participant_email/user_email</t>
  </si>
  <si>
    <t xml:space="preserve">
⚠️ LLM response could not be parsed: LLM did not return a valid JSON block. Raw response (first 300 chars): Traffic sources ranked by number of users who attended at least one live event, broken down by company type (MSME vs Startup).</t>
  </si>
  <si>
    <t>Cohort &amp; Time-Series with Complex Filters</t>
  </si>
  <si>
    <t>For Oct 2025 vs Jan 2026 signup cohorts, compare avg activity types per user in first month, filtered to MSME pre-revenue users.</t>
  </si>
  <si>
    <t>signup_month_year, company_type, company_revenue_range, activity_type, month_activity_number</t>
  </si>
  <si>
    <t>⚠️ LLM response could not be parsed: LLM did not return a valid JSON block. Raw response (first 300 chars): Comparison of average activity breadth (distinct activity types per user) in the first month after signup between October 2025 and January 2026 cohorts, filtered to MSME pre-revenue users.</t>
  </si>
  <si>
    <t>Show weekly active user trend for February 2026, segmented by company type and revenue range, for External Users only.</t>
  </si>
  <si>
    <t>month_year, week_range, company_type, company_revenue_range, user_type</t>
  </si>
  <si>
    <t>Which signup cohort has the highest proportion of users who attended at least one live event within 60 days of signup?</t>
  </si>
  <si>
    <t>nep_liftoffX_data_sample, nep_master_live_events_data</t>
  </si>
  <si>
    <t>signup_month_year, signup_date, start_date, participant_status, participant_email/user_email</t>
  </si>
  <si>
    <t>⚠️ LLM response could not be parsed: LLM did not return a valid JSON block. Raw response (first 300 chars): Signup cohorts ranked by proportion of users who attended at least one live event within 60 days of registration.</t>
  </si>
  <si>
    <t>For Oct 2025 signup cohort, show week-by-week activity decay, filtered to startup users only.</t>
  </si>
  <si>
    <t>signup_month_year, company_type, week_activity_number, week_range</t>
  </si>
  <si>
    <t xml:space="preserve">
⚠️ LLM response could not be parsed: LLM did not return a valid JSON block. Raw response (first 300 chars): Week-by-week activity retention for startup users who signed up in October 2025, showing how many remained active each week after registration.</t>
  </si>
  <si>
    <t>Compare time between signup and first AI message for users from different revenue ranges.</t>
  </si>
  <si>
    <t>company_revenue_range, signup_date, message_date, activity_type (message)</t>
  </si>
  <si>
    <t>AI
⚠️ LLM response could not be parsed: LLM did not return a valid JSON block. Raw response (first 300 chars): Comparison of time between signup and first AI message across different revenue ranges, showing average days and activation rate (% who sent at least one AI message).</t>
  </si>
  <si>
    <t>Show month-over-month event attendance trends, broken down by session type and program, for Dec 2025 to Jan 2026.</t>
  </si>
  <si>
    <t>start_date, sessiontype, program_key, participant_status</t>
  </si>
  <si>
    <t>⚠️ LLM response could not be parsed: LLM did not return a valid JSON block. Raw response (first 300 chars): Month-over-month event attendance trends by session type and program, comparing December 2025 to January 2026.</t>
  </si>
  <si>
    <t>Cross-Table &amp; Join Queries</t>
  </si>
  <si>
    <t>For MSME users in above-5-crore range who signed up via EEPC, how many attended a Startup Financials event under Liftoff-Propel and also sent an AI message?</t>
  </si>
  <si>
    <t>company_type, company_revenue_range, traffic_source_source, gapkey, program_key, activity_type (message)</t>
  </si>
  <si>
    <t>⚠️ LLM response could not be parsed: LLM did not return a valid JSON block. Raw response (first 300 chars): Count of MSME users (above-5-crore revenue) acquired via EEPC who attended a Startup Financials event in Liftoff-Propel AND also sent at least one AI message.</t>
  </si>
  <si>
    <t>Which active mentors in Liftoff-Spark, based in India with FinTech expertise, are mapped to events where no-show rate exceeded 25%?</t>
  </si>
  <si>
    <t>nep_mentor_profiles_sample_data, nep_master_live_events_data</t>
  </si>
  <si>
    <t>user_status, program/program_key, country, industry_name, participant_status (NOSHOW)</t>
  </si>
  <si>
    <t>⚠️ LLM response could not be parsed: LLM did not return a valid JSON block. Raw response (first 300 chars): Active FinTech mentors in Liftoff-Spark (India-based) who are associated with events having no-show rates exceeding 25%.</t>
  </si>
  <si>
    <t>List startup beneficiaries who attended an Expert Session on Pitch Mastery, have completed profile, and signed up via Email, with speaker and date.</t>
  </si>
  <si>
    <t>nep_liftoffX_data_sample, nep_master_user_table_sample_data, nep_master_live_events_data</t>
  </si>
  <si>
    <t>company_type, sessiontype, gapkey, profile_status, traffic_source_medium, speaker_name, start_date</t>
  </si>
  <si>
    <t>AI
⚠️ LLM response could not be parsed: LLM did not return a valid JSON block. Raw response (first 300 chars): Startup users who attended Expert Sessions on Pitch Mastery, with completed profiles, signed up via Email medium — showing speaker name and event date.</t>
  </si>
  <si>
    <t>For each gap area in live events, show count of registered users who attended, segmented by company type and revenue range.</t>
  </si>
  <si>
    <t>gapkey, participant_status, participant_email/user_email, company_type, company_revenue_range</t>
  </si>
  <si>
    <t>⚠️ LLM response could not be parsed: LLM did not return a valid JSON block. Raw response (first 300 chars): Showing live event attendance by gap area, segmented by company type and revenue range for users who attended (not just registered).</t>
  </si>
  <si>
    <t>Which event speakers are also registered as mentors, and for those who overlap, compare their event attendance rates vs overall average?</t>
  </si>
  <si>
    <t>speaker_name/first_name+last_name, speaker_email/email, participant_status</t>
  </si>
  <si>
    <t>⚠️ LLM response could not be parsed: LLM did not return a valid JSON block. Raw response (first 300 chars): Event speakers who are also registered mentors, comparing their event attendance rates against the overall platform average.</t>
  </si>
  <si>
    <t>For Liftoff-Propel, combine active India-based mentor count, External startup beneficiary count, and completed Expert Session count.</t>
  </si>
  <si>
    <t>nep_mentor_profiles_sample_data, nep_liftoffX_data_sample, nep_master_live_events_data</t>
  </si>
  <si>
    <t>program/program_key, user_status, country, user_type, company_type, event_status, sessiontype</t>
  </si>
  <si>
    <t>⚠️ LLM response could not be parsed: LLM did not return a valid JSON block. Raw response (first 300 chars): Combined metrics for Liftoff-Propel program showing active India-based mentors, External startup beneficiaries, and completed Expert Sessions.</t>
  </si>
  <si>
    <t>Show all users who signed up in Jan 2026 as startups, attended a Round Table on Competitive Strategy, and had AI conversations — with queries listed.</t>
  </si>
  <si>
    <t>signup_month_year, company_type, sessiontype, gapkey, activity_type (message), message_query</t>
  </si>
  <si>
    <t>⚠️ LLM response could not be parsed: LLM did not return a valid JSON block. Raw response (first 300 chars): Users who signed up in Jan 2026 as startups, attended a Round Table on Competitive Strategy, and had AI conversations — showing their questions asked.</t>
  </si>
  <si>
    <t>Cross-reference mentor industry expertise with event gap areas: for each program, identify industries with mentor coverage but no matching event topic, and vice versa.</t>
  </si>
  <si>
    <t>program/program_key, industry_name, gapkey</t>
  </si>
  <si>
    <t>⚠️ LLM response could not be parsed: LLM did not return a valid JSON block. Raw response (first 300 chars): Cross-reference of mentor industry expertise vs event gap areas by program, showing coverage gaps in both directions:
- Industries with mentors but no matching events
- Gap areas with events but no matching mentor expertise</t>
  </si>
  <si>
    <t>List top 10 most engaged MSME pre-revenue beneficiaries who signed up in 2025 and attended at least one live event — with activity count, events, and gap areas.</t>
  </si>
  <si>
    <t>company_type, company_revenue_range, signup_year, participant_status, participant_email/user_email, gapkey</t>
  </si>
  <si>
    <t>⚠️ LLM response could not be parsed: LLM did not return a valid JSON block. Raw response (first 300 chars): Top 10 most engaged MSME pre-revenue users from 2025 who attended at least one live event, ranked by total platform activity. Shows their activity count, events attended, and gap areas explored.</t>
  </si>
  <si>
    <t>For each traffic source, show end-to-end funnel: signups → profile completions → first AI message → first event registration → first event attendance, filtered to External startup pre-revenue users.</t>
  </si>
  <si>
    <t>traffic_source_source, user_type, company_type, company_revenue_range, profile_status, activity_type, participant_status</t>
  </si>
  <si>
    <t>⚠️ LLM response could not be parsed: LLM did not return a valid JSON block. Raw response (first 300 chars): End-to-end funnel metrics by traffic source for External startup pre-revenue users: signups → profile completions → first AI message → first event registration → first event attendance.</t>
  </si>
  <si>
    <t>Source Table</t>
  </si>
  <si>
    <t>Filter Dimension</t>
  </si>
  <si>
    <t>Column Name</t>
  </si>
  <si>
    <t>Sample Values</t>
  </si>
  <si>
    <t>Company Type</t>
  </si>
  <si>
    <t>company_type</t>
  </si>
  <si>
    <t>startup, msme</t>
  </si>
  <si>
    <t>Revenue Range</t>
  </si>
  <si>
    <t>company_revenue_range</t>
  </si>
  <si>
    <t>pre-revenue, 1-5-crore, above-5-crore</t>
  </si>
  <si>
    <t>User Type</t>
  </si>
  <si>
    <t>user_type</t>
  </si>
  <si>
    <t>Internal Users, External Users</t>
  </si>
  <si>
    <t>Activity Type</t>
  </si>
  <si>
    <t>activity_type</t>
  </si>
  <si>
    <t>visitors, message, signup, repeat visitors, introductory_video_reg_users</t>
  </si>
  <si>
    <t>Traffic Source</t>
  </si>
  <si>
    <t>traffic_source_source</t>
  </si>
  <si>
    <t>EEPC, ACIC BMU</t>
  </si>
  <si>
    <t>Traffic Medium</t>
  </si>
  <si>
    <t>traffic_source_medium</t>
  </si>
  <si>
    <t>Email, Emailer</t>
  </si>
  <si>
    <t>Signup Period</t>
  </si>
  <si>
    <t>signup_month_year</t>
  </si>
  <si>
    <t>Oct 2025, Jan 2026, Feb 2026</t>
  </si>
  <si>
    <t>Signup Year</t>
  </si>
  <si>
    <t>signup_year</t>
  </si>
  <si>
    <t>2025, 2026</t>
  </si>
  <si>
    <t>Activity Week</t>
  </si>
  <si>
    <t>week_range</t>
  </si>
  <si>
    <t>16 Feb - 22 Feb</t>
  </si>
  <si>
    <t>GA Event Name</t>
  </si>
  <si>
    <t>ga_event_name</t>
  </si>
  <si>
    <t>homepage_landed, page_view, User Registration, mentors_tab_clicked, onboarding_next_clicked, etc.</t>
  </si>
  <si>
    <t>AI Message Query</t>
  </si>
  <si>
    <t>message_query</t>
  </si>
  <si>
    <t>Free-text user queries to AI mentor</t>
  </si>
  <si>
    <t>Response Flow State</t>
  </si>
  <si>
    <t>response_flow_state</t>
  </si>
  <si>
    <t>completed</t>
  </si>
  <si>
    <t>Login Status</t>
  </si>
  <si>
    <t>login_status</t>
  </si>
  <si>
    <t>completedprofile</t>
  </si>
  <si>
    <t>Profile Status</t>
  </si>
  <si>
    <t>profile_status</t>
  </si>
  <si>
    <t>Phone Status</t>
  </si>
  <si>
    <t>phone_status</t>
  </si>
  <si>
    <t>verifiedphone</t>
  </si>
  <si>
    <t>above-5-crore</t>
  </si>
  <si>
    <t>EEPC, WA, meta, DevX</t>
  </si>
  <si>
    <t>Email, Emailer, social, leaflet</t>
  </si>
  <si>
    <t>Traffic Campaign</t>
  </si>
  <si>
    <t>traffic_source_campaign</t>
  </si>
  <si>
    <t>test_campaign, d4649158d9-EMAIL_CAMPAIGN_...</t>
  </si>
  <si>
    <t>Has AI Messages</t>
  </si>
  <si>
    <t>message_user_id</t>
  </si>
  <si>
    <t>Non-null = user sent AI messages (144 of 200 users)</t>
  </si>
  <si>
    <t>Has Session/Mentor/Resource</t>
  </si>
  <si>
    <t>se_me_re_user_id</t>
  </si>
  <si>
    <t>Non-null = engaged with sessions/mentors/resources (55 of 200)</t>
  </si>
  <si>
    <t>Has Journey Completion</t>
  </si>
  <si>
    <t>jc_user_id</t>
  </si>
  <si>
    <t>Non-null = completed journey (18 of 200)</t>
  </si>
  <si>
    <t>Program</t>
  </si>
  <si>
    <t>program</t>
  </si>
  <si>
    <t>liftoff, liftoff-spark, liftoff-propel, ignite</t>
  </si>
  <si>
    <t>Mentor Type</t>
  </si>
  <si>
    <t>mentor_type</t>
  </si>
  <si>
    <t>MENTOR, EXPERT</t>
  </si>
  <si>
    <t>Status</t>
  </si>
  <si>
    <t>user_status</t>
  </si>
  <si>
    <t>ACTIVE, PENDING</t>
  </si>
  <si>
    <t>Visibility</t>
  </si>
  <si>
    <t>visibility</t>
  </si>
  <si>
    <t>PUBLIC, INTERNAL</t>
  </si>
  <si>
    <t>Country</t>
  </si>
  <si>
    <t>country</t>
  </si>
  <si>
    <t>India, Mexico, Brasil, Nigeria</t>
  </si>
  <si>
    <t>State</t>
  </si>
  <si>
    <t>state</t>
  </si>
  <si>
    <t>Maharashtra, Karnataka, Telangana, Gujarat, Haryana, etc.</t>
  </si>
  <si>
    <t>City</t>
  </si>
  <si>
    <t>city</t>
  </si>
  <si>
    <t>Pune, Mumbai, Hyderabad, Ahmedabad, Guadalajara, Sao Paulo, etc.</t>
  </si>
  <si>
    <t>Stage Expertise</t>
  </si>
  <si>
    <t>stage_name</t>
  </si>
  <si>
    <t>Pre Idea Stage, Idea Stage, Early Stage, Demo Stage, Traction Stage</t>
  </si>
  <si>
    <t>Industry</t>
  </si>
  <si>
    <t>industry_name</t>
  </si>
  <si>
    <t>FinTech, EdTech, AI/Big Data, E-Commerce, CleanTech, AgriTech, Healthtech, etc.</t>
  </si>
  <si>
    <t>Degree</t>
  </si>
  <si>
    <t>degree</t>
  </si>
  <si>
    <t>PhD, MBA, MCA, B.E., Research Fellowship, Masters in Business Laws</t>
  </si>
  <si>
    <t>Language</t>
  </si>
  <si>
    <t>preferred_language</t>
  </si>
  <si>
    <t>en, es, pt</t>
  </si>
  <si>
    <t>program_key</t>
  </si>
  <si>
    <t>liftoff, liftoff-spark, liftoff-propel</t>
  </si>
  <si>
    <t>Session Type</t>
  </si>
  <si>
    <t>sessiontype</t>
  </si>
  <si>
    <t>expertSession, roundTable</t>
  </si>
  <si>
    <t>Event Status</t>
  </si>
  <si>
    <t>event_status</t>
  </si>
  <si>
    <t>COMPLETED, OPEN</t>
  </si>
  <si>
    <t>Gap Area</t>
  </si>
  <si>
    <t>gapkey</t>
  </si>
  <si>
    <t>BusinessModelCanvas, PitchMastery, StartupFinancials, GrowthHacking, CustomerRetention, CompetitiveStrategy, etc.</t>
  </si>
  <si>
    <t>Topic Key</t>
  </si>
  <si>
    <t>topickey</t>
  </si>
  <si>
    <t>ScalingSmart, CompetitiveEdge, FinancialFluency, GrowthHacking101, PerfectingYourPitch, etc.</t>
  </si>
  <si>
    <t>Participant Status</t>
  </si>
  <si>
    <t>participant_status</t>
  </si>
  <si>
    <t>ATTENDED, REGISTERED, NOSHOW</t>
  </si>
  <si>
    <t>Speaker</t>
  </si>
  <si>
    <t>speaker_name</t>
  </si>
  <si>
    <t>Sriram Chidambaram, Neetu Bansal, Suhas Motwani, Gunjan Pai, Ajay Rungta, etc.</t>
  </si>
  <si>
    <t>Participant Country</t>
  </si>
  <si>
    <t>particpant_country</t>
  </si>
  <si>
    <t>India, Australia</t>
  </si>
  <si>
    <t>Event Date Range</t>
  </si>
  <si>
    <t>start_date</t>
  </si>
  <si>
    <t>2025-12-17 to 2026-01-19</t>
  </si>
  <si>
    <t>Event Language</t>
  </si>
  <si>
    <t>language</t>
  </si>
  <si>
    <t>en</t>
  </si>
  <si>
    <t>Total Questions</t>
  </si>
  <si>
    <t>Categories</t>
  </si>
  <si>
    <t>Questions with 3 filters</t>
  </si>
  <si>
    <t>Questions with 4+ filters</t>
  </si>
  <si>
    <t>Category Breakdown</t>
  </si>
  <si>
    <t>Count</t>
  </si>
  <si>
    <t>A. Multi-Filter Signup &amp; Registration Queries</t>
  </si>
  <si>
    <t>B. Multi-Dimensional User Engagement Queries</t>
  </si>
  <si>
    <t>C. Multi-Filter Mentor Network Queries</t>
  </si>
  <si>
    <t>D. Multi-Filter Live Events &amp; Sessions Queries</t>
  </si>
  <si>
    <t>E. Multi-Filter Event Participant Analytics</t>
  </si>
  <si>
    <t>F. Cross-Program Comparison with Filters</t>
  </si>
  <si>
    <t>G. Funnel &amp; Conversion with Layered Filters</t>
  </si>
  <si>
    <t>I. Cohort &amp; Time-Series with Complex Filters</t>
  </si>
  <si>
    <t>J. Complex Cross-Table &amp; Join Queries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</si>
</sst>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Calibri"/>
      <family val="2"/>
      <charset val="1"/>
    </font>
    <font>
      <b/>
      <sz val="11"/>
      <color rgb="FFFFFFFF"/>
      <name val="Arial"/>
      <family val="2"/>
    </font>
    <font>
      <sz val="10"/>
      <name val="Arial"/>
      <family val="2"/>
    </font>
    <font>
      <b/>
      <sz val="10"/>
      <name val="Arial"/>
      <family val="2"/>
    </font>
    <font>
      <sz val="10"/>
      <color rgb="FF555555"/>
      <name val="Arial"/>
      <family val="2"/>
    </font>
    <font>
      <b/>
      <sz val="11"/>
      <color rgb="FF1B3A5C"/>
      <name val="Arial"/>
      <family val="2"/>
    </font>
    <font>
      <b/>
      <sz val="11"/>
      <color theme="1"/>
      <name val="Arial"/>
      <family val="2"/>
    </font>
    <font>
      <sz val="10"/>
      <color theme="1"/>
      <name val="Arial"/>
      <family val="2"/>
    </font>
  </fonts>
  <fills count="4">
    <fill>
      <patternFill patternType="none"/>
    </fill>
    <fill>
      <patternFill patternType="gray125"/>
    </fill>
    <fill>
      <patternFill patternType="solid">
        <fgColor rgb="FF1B3A5C"/>
        <bgColor rgb="FF333333"/>
      </patternFill>
    </fill>
    <fill>
      <patternFill patternType="solid">
        <fgColor rgb="FFF7FAFD"/>
        <bgColor rgb="FFFFFFFF"/>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16">
    <xf numFmtId="0" fontId="0" fillId="0" borderId="0" xfId="0"/>
    <xf numFmtId="0" fontId="2" fillId="0" borderId="1" xfId="0" applyFont="1" applyBorder="1" applyAlignment="1">
      <alignment vertical="top" wrapText="1"/>
    </xf>
    <xf numFmtId="0" fontId="2" fillId="3" borderId="1" xfId="0" applyFont="1" applyFill="1" applyBorder="1" applyAlignment="1">
      <alignment vertical="top" wrapText="1"/>
    </xf>
    <xf numFmtId="0" fontId="1" fillId="2" borderId="1" xfId="0" applyFont="1" applyFill="1" applyBorder="1" applyAlignment="1">
      <alignment vertical="center" wrapText="1"/>
    </xf>
    <xf numFmtId="0" fontId="3" fillId="3" borderId="1" xfId="0" applyFont="1" applyFill="1" applyBorder="1" applyAlignment="1">
      <alignment vertical="top" wrapText="1"/>
    </xf>
    <xf numFmtId="0" fontId="4" fillId="3" borderId="1" xfId="0" applyFont="1" applyFill="1" applyBorder="1" applyAlignment="1">
      <alignment vertical="top" wrapText="1"/>
    </xf>
    <xf numFmtId="0" fontId="3" fillId="0" borderId="1" xfId="0" applyFont="1" applyBorder="1" applyAlignment="1">
      <alignment vertical="top" wrapText="1"/>
    </xf>
    <xf numFmtId="0" fontId="4" fillId="0" borderId="1" xfId="0" applyFont="1" applyBorder="1" applyAlignment="1">
      <alignment vertical="top" wrapText="1"/>
    </xf>
    <xf numFmtId="0" fontId="5" fillId="0" borderId="1" xfId="0" applyFont="1" applyBorder="1"/>
    <xf numFmtId="0" fontId="2" fillId="0" borderId="1" xfId="0" applyFont="1" applyBorder="1"/>
    <xf numFmtId="0" fontId="6" fillId="0" borderId="1" xfId="0" applyFont="1" applyBorder="1" applyAlignment="1">
      <alignment horizontal="center" vertical="center" wrapText="1"/>
    </xf>
    <xf numFmtId="0" fontId="6" fillId="0" borderId="1" xfId="0" applyFont="1" applyBorder="1" applyAlignment="1">
      <alignment horizontal="left" vertical="center" wrapText="1"/>
    </xf>
    <xf numFmtId="0" fontId="7" fillId="0" borderId="1" xfId="0" applyFont="1" applyBorder="1" applyAlignment="1">
      <alignment horizontal="center" vertical="top" wrapText="1"/>
    </xf>
    <xf numFmtId="0" fontId="7" fillId="0" borderId="1" xfId="0" applyFont="1" applyBorder="1" applyAlignment="1">
      <alignment vertical="top" wrapText="1"/>
    </xf>
    <xf numFmtId="0" fontId="0" fillId="0" borderId="0" xfId="0" applyAlignment="1">
      <alignment wrapText="1"/>
    </xf>
    <xf numFmtId="18" fontId="0" fillId="0" borderId="0" xfId="0" applyNumberFormat="1" applyAlignment="1">
      <alignment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CCCCC"/>
      <rgbColor rgb="FF808080"/>
      <rgbColor rgb="FF9999FF"/>
      <rgbColor rgb="FF993366"/>
      <rgbColor rgb="FFF7FAFD"/>
      <rgbColor rgb="FFE8F5E9"/>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EBEE"/>
      <rgbColor rgb="FF99CCFF"/>
      <rgbColor rgb="FFFF99CC"/>
      <rgbColor rgb="FFCC99FF"/>
      <rgbColor rgb="FFFFCC99"/>
      <rgbColor rgb="FF3366FF"/>
      <rgbColor rgb="FF33CCCC"/>
      <rgbColor rgb="FF99CC00"/>
      <rgbColor rgb="FFFFCC00"/>
      <rgbColor rgb="FFFF9900"/>
      <rgbColor rgb="FFFF6600"/>
      <rgbColor rgb="FF555555"/>
      <rgbColor rgb="FF969696"/>
      <rgbColor rgb="FF1B3A5C"/>
      <rgbColor rgb="FF2E7D32"/>
      <rgbColor rgb="FF003300"/>
      <rgbColor rgb="FF333300"/>
      <rgbColor rgb="FFB71C1C"/>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79"/>
  <sheetViews>
    <sheetView tabSelected="1" zoomScaleNormal="100" workbookViewId="0">
      <pane ySplit="1" topLeftCell="B2" activePane="bottomLeft" state="frozen"/>
      <selection pane="bottomLeft" activeCell="E80" sqref="E80"/>
    </sheetView>
  </sheetViews>
  <sheetFormatPr defaultColWidth="8.7109375" defaultRowHeight="15"/>
  <cols>
    <col min="1" max="1" width="5" customWidth="1"/>
    <col min="2" max="2" width="24.42578125" customWidth="1"/>
    <col min="3" max="3" width="35.28515625" customWidth="1"/>
    <col min="4" max="4" width="31.28515625" customWidth="1"/>
    <col min="5" max="5" width="15.5703125" customWidth="1"/>
    <col min="6" max="6" width="100" customWidth="1"/>
  </cols>
  <sheetData>
    <row r="1" spans="1:6">
      <c r="A1" s="10" t="s">
        <v>0</v>
      </c>
      <c r="B1" s="11" t="s">
        <v>1</v>
      </c>
      <c r="C1" s="11" t="s">
        <v>2</v>
      </c>
      <c r="D1" s="11" t="s">
        <v>3</v>
      </c>
      <c r="E1" s="11" t="s">
        <v>4</v>
      </c>
      <c r="F1" t="s">
        <v>5</v>
      </c>
    </row>
    <row r="2" spans="1:6" ht="60.75">
      <c r="A2" s="12">
        <v>1</v>
      </c>
      <c r="B2" s="13" t="s">
        <v>6</v>
      </c>
      <c r="C2" s="13" t="s">
        <v>7</v>
      </c>
      <c r="D2" s="13" t="s">
        <v>8</v>
      </c>
      <c r="E2" s="13" t="s">
        <v>9</v>
      </c>
      <c r="F2" s="14" t="s">
        <v>10</v>
      </c>
    </row>
    <row r="3" spans="1:6" ht="27.95">
      <c r="A3" s="12">
        <v>2</v>
      </c>
      <c r="B3" s="13" t="s">
        <v>6</v>
      </c>
      <c r="C3" s="13" t="s">
        <v>11</v>
      </c>
      <c r="D3" s="13" t="s">
        <v>12</v>
      </c>
      <c r="E3" s="13" t="s">
        <v>13</v>
      </c>
      <c r="F3" t="s">
        <v>14</v>
      </c>
    </row>
    <row r="4" spans="1:6" ht="60.75">
      <c r="A4" s="12">
        <v>3</v>
      </c>
      <c r="B4" s="13" t="s">
        <v>6</v>
      </c>
      <c r="C4" s="13" t="s">
        <v>15</v>
      </c>
      <c r="D4" s="13" t="s">
        <v>8</v>
      </c>
      <c r="E4" s="13" t="s">
        <v>16</v>
      </c>
      <c r="F4" s="14" t="s">
        <v>17</v>
      </c>
    </row>
    <row r="5" spans="1:6" ht="259.5">
      <c r="A5" s="12">
        <v>4</v>
      </c>
      <c r="B5" s="13" t="s">
        <v>6</v>
      </c>
      <c r="C5" s="13" t="s">
        <v>18</v>
      </c>
      <c r="D5" s="13" t="s">
        <v>12</v>
      </c>
      <c r="E5" s="13" t="s">
        <v>19</v>
      </c>
      <c r="F5" s="14" t="s">
        <v>20</v>
      </c>
    </row>
    <row r="6" spans="1:6" ht="91.5">
      <c r="A6" s="12">
        <v>5</v>
      </c>
      <c r="B6" s="13" t="s">
        <v>6</v>
      </c>
      <c r="C6" s="13" t="s">
        <v>21</v>
      </c>
      <c r="D6" s="13" t="s">
        <v>22</v>
      </c>
      <c r="E6" s="13" t="s">
        <v>23</v>
      </c>
      <c r="F6" s="14" t="s">
        <v>24</v>
      </c>
    </row>
    <row r="7" spans="1:6" ht="60">
      <c r="A7" s="12">
        <v>6</v>
      </c>
      <c r="B7" s="13" t="s">
        <v>6</v>
      </c>
      <c r="C7" s="13" t="s">
        <v>25</v>
      </c>
      <c r="D7" s="13" t="s">
        <v>12</v>
      </c>
      <c r="E7" s="13" t="s">
        <v>26</v>
      </c>
      <c r="F7" s="14" t="s">
        <v>27</v>
      </c>
    </row>
    <row r="8" spans="1:6" ht="72">
      <c r="A8" s="12">
        <v>7</v>
      </c>
      <c r="B8" s="13" t="s">
        <v>6</v>
      </c>
      <c r="C8" s="13" t="s">
        <v>28</v>
      </c>
      <c r="D8" s="13" t="s">
        <v>12</v>
      </c>
      <c r="E8" s="13" t="s">
        <v>29</v>
      </c>
      <c r="F8" s="14" t="s">
        <v>30</v>
      </c>
    </row>
    <row r="9" spans="1:6" ht="48">
      <c r="A9" s="12">
        <v>8</v>
      </c>
      <c r="B9" s="13" t="s">
        <v>6</v>
      </c>
      <c r="C9" s="13" t="s">
        <v>31</v>
      </c>
      <c r="D9" s="13" t="s">
        <v>12</v>
      </c>
      <c r="E9" s="13" t="s">
        <v>32</v>
      </c>
      <c r="F9" s="14" t="s">
        <v>33</v>
      </c>
    </row>
    <row r="10" spans="1:6" ht="60">
      <c r="A10" s="12">
        <v>9</v>
      </c>
      <c r="B10" s="13" t="s">
        <v>34</v>
      </c>
      <c r="C10" s="13" t="s">
        <v>35</v>
      </c>
      <c r="D10" s="13" t="s">
        <v>12</v>
      </c>
      <c r="E10" s="13" t="s">
        <v>36</v>
      </c>
      <c r="F10" s="14" t="s">
        <v>37</v>
      </c>
    </row>
    <row r="11" spans="1:6" ht="72">
      <c r="A11" s="12">
        <v>10</v>
      </c>
      <c r="B11" s="13" t="s">
        <v>34</v>
      </c>
      <c r="C11" s="13" t="s">
        <v>38</v>
      </c>
      <c r="D11" s="13" t="s">
        <v>12</v>
      </c>
      <c r="E11" s="13" t="s">
        <v>39</v>
      </c>
      <c r="F11" s="14" t="s">
        <v>40</v>
      </c>
    </row>
    <row r="12" spans="1:6" ht="48">
      <c r="A12" s="12">
        <v>11</v>
      </c>
      <c r="B12" s="13" t="s">
        <v>34</v>
      </c>
      <c r="C12" s="13" t="s">
        <v>41</v>
      </c>
      <c r="D12" s="13" t="s">
        <v>12</v>
      </c>
      <c r="E12" s="13" t="s">
        <v>42</v>
      </c>
      <c r="F12" s="15" t="s">
        <v>43</v>
      </c>
    </row>
    <row r="13" spans="1:6" ht="48">
      <c r="A13" s="12">
        <v>12</v>
      </c>
      <c r="B13" s="13" t="s">
        <v>34</v>
      </c>
      <c r="C13" s="13" t="s">
        <v>44</v>
      </c>
      <c r="D13" s="13" t="s">
        <v>12</v>
      </c>
      <c r="E13" s="13" t="s">
        <v>45</v>
      </c>
      <c r="F13" s="14" t="s">
        <v>46</v>
      </c>
    </row>
    <row r="14" spans="1:6" ht="27.95">
      <c r="A14" s="12">
        <v>13</v>
      </c>
      <c r="B14" s="13" t="s">
        <v>34</v>
      </c>
      <c r="C14" s="13" t="s">
        <v>47</v>
      </c>
      <c r="D14" s="13" t="s">
        <v>12</v>
      </c>
      <c r="E14" s="13" t="s">
        <v>48</v>
      </c>
      <c r="F14" t="s">
        <v>49</v>
      </c>
    </row>
    <row r="15" spans="1:6" ht="76.5">
      <c r="A15" s="12">
        <v>14</v>
      </c>
      <c r="B15" s="13" t="s">
        <v>34</v>
      </c>
      <c r="C15" s="13" t="s">
        <v>50</v>
      </c>
      <c r="D15" s="13" t="s">
        <v>12</v>
      </c>
      <c r="E15" s="13" t="s">
        <v>51</v>
      </c>
      <c r="F15" s="14" t="s">
        <v>52</v>
      </c>
    </row>
    <row r="16" spans="1:6" ht="72">
      <c r="A16" s="12">
        <v>15</v>
      </c>
      <c r="B16" s="13" t="s">
        <v>34</v>
      </c>
      <c r="C16" s="13" t="s">
        <v>53</v>
      </c>
      <c r="D16" s="13" t="s">
        <v>12</v>
      </c>
      <c r="E16" s="13" t="s">
        <v>54</v>
      </c>
      <c r="F16" s="14" t="s">
        <v>55</v>
      </c>
    </row>
    <row r="17" spans="1:6" ht="107.25">
      <c r="A17" s="12">
        <v>16</v>
      </c>
      <c r="B17" s="13" t="s">
        <v>34</v>
      </c>
      <c r="C17" s="13" t="s">
        <v>56</v>
      </c>
      <c r="D17" s="13" t="s">
        <v>12</v>
      </c>
      <c r="E17" s="13" t="s">
        <v>57</v>
      </c>
      <c r="F17" s="14" t="s">
        <v>58</v>
      </c>
    </row>
    <row r="18" spans="1:6" ht="118.5">
      <c r="A18" s="12">
        <v>17</v>
      </c>
      <c r="B18" s="13" t="s">
        <v>34</v>
      </c>
      <c r="C18" s="13" t="s">
        <v>59</v>
      </c>
      <c r="D18" s="13" t="s">
        <v>8</v>
      </c>
      <c r="E18" s="13" t="s">
        <v>60</v>
      </c>
      <c r="F18" s="14" t="s">
        <v>61</v>
      </c>
    </row>
    <row r="19" spans="1:6" ht="27.95">
      <c r="A19" s="12">
        <v>18</v>
      </c>
      <c r="B19" s="13" t="s">
        <v>62</v>
      </c>
      <c r="C19" s="13" t="s">
        <v>63</v>
      </c>
      <c r="D19" s="13" t="s">
        <v>64</v>
      </c>
      <c r="E19" s="13" t="s">
        <v>65</v>
      </c>
      <c r="F19" t="s">
        <v>66</v>
      </c>
    </row>
    <row r="20" spans="1:6" ht="27.95">
      <c r="A20" s="12">
        <v>19</v>
      </c>
      <c r="B20" s="13" t="s">
        <v>62</v>
      </c>
      <c r="C20" s="13" t="s">
        <v>67</v>
      </c>
      <c r="D20" s="13" t="s">
        <v>64</v>
      </c>
      <c r="E20" s="13" t="s">
        <v>68</v>
      </c>
      <c r="F20" t="s">
        <v>69</v>
      </c>
    </row>
    <row r="21" spans="1:6" ht="27.95">
      <c r="A21" s="12">
        <v>20</v>
      </c>
      <c r="B21" s="13" t="s">
        <v>62</v>
      </c>
      <c r="C21" s="13" t="s">
        <v>70</v>
      </c>
      <c r="D21" s="13" t="s">
        <v>64</v>
      </c>
      <c r="E21" s="13" t="s">
        <v>71</v>
      </c>
      <c r="F21" t="s">
        <v>69</v>
      </c>
    </row>
    <row r="22" spans="1:6" ht="27.95">
      <c r="A22" s="12">
        <v>21</v>
      </c>
      <c r="B22" s="13" t="s">
        <v>62</v>
      </c>
      <c r="C22" s="13" t="s">
        <v>72</v>
      </c>
      <c r="D22" s="13" t="s">
        <v>64</v>
      </c>
      <c r="E22" s="13" t="s">
        <v>73</v>
      </c>
    </row>
    <row r="23" spans="1:6" ht="27.95">
      <c r="A23" s="12">
        <v>22</v>
      </c>
      <c r="B23" s="13" t="s">
        <v>62</v>
      </c>
      <c r="C23" s="13" t="s">
        <v>74</v>
      </c>
      <c r="D23" s="13" t="s">
        <v>64</v>
      </c>
      <c r="E23" s="13" t="s">
        <v>75</v>
      </c>
    </row>
    <row r="24" spans="1:6" ht="27.95">
      <c r="A24" s="12">
        <v>23</v>
      </c>
      <c r="B24" s="13" t="s">
        <v>62</v>
      </c>
      <c r="C24" s="13" t="s">
        <v>76</v>
      </c>
      <c r="D24" s="13" t="s">
        <v>64</v>
      </c>
      <c r="E24" s="13" t="s">
        <v>77</v>
      </c>
      <c r="F24" t="s">
        <v>78</v>
      </c>
    </row>
    <row r="25" spans="1:6" ht="27.95">
      <c r="A25" s="12">
        <v>24</v>
      </c>
      <c r="B25" s="13" t="s">
        <v>62</v>
      </c>
      <c r="C25" s="13" t="s">
        <v>79</v>
      </c>
      <c r="D25" s="13" t="s">
        <v>64</v>
      </c>
      <c r="E25" s="13" t="s">
        <v>80</v>
      </c>
      <c r="F25" t="s">
        <v>69</v>
      </c>
    </row>
    <row r="26" spans="1:6" ht="27.95">
      <c r="A26" s="12">
        <v>25</v>
      </c>
      <c r="B26" s="13" t="s">
        <v>62</v>
      </c>
      <c r="C26" s="13" t="s">
        <v>81</v>
      </c>
      <c r="D26" s="13" t="s">
        <v>64</v>
      </c>
      <c r="E26" s="13" t="s">
        <v>82</v>
      </c>
      <c r="F26" t="s">
        <v>69</v>
      </c>
    </row>
    <row r="27" spans="1:6" ht="60">
      <c r="A27" s="12">
        <v>26</v>
      </c>
      <c r="B27" s="13" t="s">
        <v>62</v>
      </c>
      <c r="C27" s="13" t="s">
        <v>83</v>
      </c>
      <c r="D27" s="13" t="s">
        <v>64</v>
      </c>
      <c r="E27" s="13" t="s">
        <v>84</v>
      </c>
      <c r="F27" s="14" t="s">
        <v>85</v>
      </c>
    </row>
    <row r="28" spans="1:6" ht="27.95">
      <c r="A28" s="12">
        <v>27</v>
      </c>
      <c r="B28" s="13" t="s">
        <v>86</v>
      </c>
      <c r="C28" s="13" t="s">
        <v>87</v>
      </c>
      <c r="D28" s="13" t="s">
        <v>88</v>
      </c>
      <c r="E28" s="13" t="s">
        <v>89</v>
      </c>
      <c r="F28">
        <v>0</v>
      </c>
    </row>
    <row r="29" spans="1:6" ht="27.95">
      <c r="A29" s="12">
        <v>28</v>
      </c>
      <c r="B29" s="13" t="s">
        <v>86</v>
      </c>
      <c r="C29" s="13" t="s">
        <v>90</v>
      </c>
      <c r="D29" s="13" t="s">
        <v>88</v>
      </c>
      <c r="E29" s="13" t="s">
        <v>91</v>
      </c>
      <c r="F29" t="s">
        <v>49</v>
      </c>
    </row>
    <row r="30" spans="1:6" ht="60">
      <c r="A30" s="12">
        <v>29</v>
      </c>
      <c r="B30" s="13" t="s">
        <v>86</v>
      </c>
      <c r="C30" s="13" t="s">
        <v>92</v>
      </c>
      <c r="D30" s="13" t="s">
        <v>88</v>
      </c>
      <c r="E30" s="13" t="s">
        <v>93</v>
      </c>
      <c r="F30" s="14" t="s">
        <v>94</v>
      </c>
    </row>
    <row r="31" spans="1:6" ht="60">
      <c r="A31" s="12">
        <v>30</v>
      </c>
      <c r="B31" s="13" t="s">
        <v>86</v>
      </c>
      <c r="C31" s="13" t="s">
        <v>95</v>
      </c>
      <c r="D31" s="13" t="s">
        <v>88</v>
      </c>
      <c r="E31" s="13" t="s">
        <v>96</v>
      </c>
      <c r="F31" s="14" t="s">
        <v>94</v>
      </c>
    </row>
    <row r="32" spans="1:6" ht="60">
      <c r="A32" s="12">
        <v>31</v>
      </c>
      <c r="B32" s="13" t="s">
        <v>86</v>
      </c>
      <c r="C32" s="13" t="s">
        <v>97</v>
      </c>
      <c r="D32" s="13" t="s">
        <v>88</v>
      </c>
      <c r="E32" s="13" t="s">
        <v>98</v>
      </c>
      <c r="F32" s="14" t="s">
        <v>99</v>
      </c>
    </row>
    <row r="33" spans="1:6" ht="72">
      <c r="A33" s="12">
        <v>32</v>
      </c>
      <c r="B33" s="13" t="s">
        <v>86</v>
      </c>
      <c r="C33" s="13" t="s">
        <v>100</v>
      </c>
      <c r="D33" s="13" t="s">
        <v>88</v>
      </c>
      <c r="E33" s="13" t="s">
        <v>101</v>
      </c>
      <c r="F33" s="14" t="s">
        <v>102</v>
      </c>
    </row>
    <row r="34" spans="1:6" ht="60">
      <c r="A34" s="12">
        <v>33</v>
      </c>
      <c r="B34" s="13" t="s">
        <v>86</v>
      </c>
      <c r="C34" s="13" t="s">
        <v>103</v>
      </c>
      <c r="D34" s="13" t="s">
        <v>88</v>
      </c>
      <c r="E34" s="13" t="s">
        <v>104</v>
      </c>
      <c r="F34" s="14" t="s">
        <v>105</v>
      </c>
    </row>
    <row r="35" spans="1:6" ht="60">
      <c r="A35" s="12">
        <v>34</v>
      </c>
      <c r="B35" s="13" t="s">
        <v>86</v>
      </c>
      <c r="C35" s="13" t="s">
        <v>106</v>
      </c>
      <c r="D35" s="13" t="s">
        <v>88</v>
      </c>
      <c r="E35" s="13" t="s">
        <v>107</v>
      </c>
      <c r="F35" s="14" t="s">
        <v>108</v>
      </c>
    </row>
    <row r="36" spans="1:6" ht="27.95">
      <c r="A36" s="12">
        <v>35</v>
      </c>
      <c r="B36" s="13" t="s">
        <v>86</v>
      </c>
      <c r="C36" s="13" t="s">
        <v>109</v>
      </c>
      <c r="D36" s="13" t="s">
        <v>88</v>
      </c>
      <c r="E36" s="13" t="s">
        <v>110</v>
      </c>
      <c r="F36" t="s">
        <v>111</v>
      </c>
    </row>
    <row r="37" spans="1:6" ht="60">
      <c r="A37" s="12">
        <v>36</v>
      </c>
      <c r="B37" s="13" t="s">
        <v>112</v>
      </c>
      <c r="C37" s="13" t="s">
        <v>113</v>
      </c>
      <c r="D37" s="13" t="s">
        <v>88</v>
      </c>
      <c r="E37" s="13" t="s">
        <v>114</v>
      </c>
      <c r="F37" t="s">
        <v>115</v>
      </c>
    </row>
    <row r="38" spans="1:6" ht="27.95">
      <c r="A38" s="12">
        <v>37</v>
      </c>
      <c r="B38" s="13" t="s">
        <v>112</v>
      </c>
      <c r="C38" s="13" t="s">
        <v>116</v>
      </c>
      <c r="D38" s="13" t="s">
        <v>88</v>
      </c>
      <c r="E38" s="13" t="s">
        <v>117</v>
      </c>
    </row>
    <row r="39" spans="1:6" ht="27.95">
      <c r="A39" s="12">
        <v>38</v>
      </c>
      <c r="B39" s="13" t="s">
        <v>112</v>
      </c>
      <c r="C39" s="13" t="s">
        <v>118</v>
      </c>
      <c r="D39" s="13" t="s">
        <v>88</v>
      </c>
      <c r="E39" s="13" t="s">
        <v>119</v>
      </c>
      <c r="F39" t="s">
        <v>115</v>
      </c>
    </row>
    <row r="40" spans="1:6" ht="27.95">
      <c r="A40" s="12">
        <v>39</v>
      </c>
      <c r="B40" s="13" t="s">
        <v>112</v>
      </c>
      <c r="C40" s="13" t="s">
        <v>120</v>
      </c>
      <c r="D40" s="13" t="s">
        <v>88</v>
      </c>
      <c r="E40" s="13" t="s">
        <v>121</v>
      </c>
      <c r="F40" t="s">
        <v>69</v>
      </c>
    </row>
    <row r="41" spans="1:6" ht="108">
      <c r="A41" s="12">
        <v>40</v>
      </c>
      <c r="B41" s="13" t="s">
        <v>112</v>
      </c>
      <c r="C41" s="13" t="s">
        <v>122</v>
      </c>
      <c r="D41" s="13" t="s">
        <v>88</v>
      </c>
      <c r="E41" s="13" t="s">
        <v>123</v>
      </c>
      <c r="F41" s="14" t="s">
        <v>124</v>
      </c>
    </row>
    <row r="42" spans="1:6" ht="27.95">
      <c r="A42" s="12">
        <v>41</v>
      </c>
      <c r="B42" s="13" t="s">
        <v>112</v>
      </c>
      <c r="C42" s="13" t="s">
        <v>125</v>
      </c>
      <c r="D42" s="13" t="s">
        <v>88</v>
      </c>
      <c r="E42" s="13" t="s">
        <v>126</v>
      </c>
      <c r="F42" t="s">
        <v>127</v>
      </c>
    </row>
    <row r="43" spans="1:6" ht="27.95">
      <c r="A43" s="12">
        <v>42</v>
      </c>
      <c r="B43" s="13" t="s">
        <v>112</v>
      </c>
      <c r="C43" s="13" t="s">
        <v>128</v>
      </c>
      <c r="D43" s="13" t="s">
        <v>88</v>
      </c>
      <c r="E43" s="13" t="s">
        <v>129</v>
      </c>
      <c r="F43" t="s">
        <v>130</v>
      </c>
    </row>
    <row r="44" spans="1:6" ht="27.95">
      <c r="A44" s="12">
        <v>43</v>
      </c>
      <c r="B44" s="13" t="s">
        <v>112</v>
      </c>
      <c r="C44" s="13" t="s">
        <v>131</v>
      </c>
      <c r="D44" s="13" t="s">
        <v>88</v>
      </c>
      <c r="E44" s="13" t="s">
        <v>132</v>
      </c>
      <c r="F44" t="s">
        <v>130</v>
      </c>
    </row>
    <row r="45" spans="1:6" ht="27.95">
      <c r="A45" s="12">
        <v>44</v>
      </c>
      <c r="B45" s="13" t="s">
        <v>112</v>
      </c>
      <c r="C45" s="13" t="s">
        <v>133</v>
      </c>
      <c r="D45" s="13" t="s">
        <v>88</v>
      </c>
      <c r="E45" s="13" t="s">
        <v>134</v>
      </c>
      <c r="F45" t="s">
        <v>69</v>
      </c>
    </row>
    <row r="46" spans="1:6" ht="183">
      <c r="A46" s="12">
        <v>45</v>
      </c>
      <c r="B46" s="13" t="s">
        <v>135</v>
      </c>
      <c r="C46" s="13" t="s">
        <v>136</v>
      </c>
      <c r="D46" s="13" t="s">
        <v>137</v>
      </c>
      <c r="E46" s="13" t="s">
        <v>138</v>
      </c>
      <c r="F46" s="14" t="s">
        <v>139</v>
      </c>
    </row>
    <row r="47" spans="1:6" ht="27.95">
      <c r="A47" s="12">
        <v>46</v>
      </c>
      <c r="B47" s="13" t="s">
        <v>135</v>
      </c>
      <c r="C47" s="13" t="s">
        <v>140</v>
      </c>
      <c r="D47" s="13" t="s">
        <v>64</v>
      </c>
      <c r="E47" s="13" t="s">
        <v>141</v>
      </c>
      <c r="F47" t="s">
        <v>69</v>
      </c>
    </row>
    <row r="48" spans="1:6" ht="84">
      <c r="A48" s="12">
        <v>47</v>
      </c>
      <c r="B48" s="13" t="s">
        <v>135</v>
      </c>
      <c r="C48" s="13" t="s">
        <v>142</v>
      </c>
      <c r="D48" s="13" t="s">
        <v>88</v>
      </c>
      <c r="E48" s="13" t="s">
        <v>143</v>
      </c>
      <c r="F48" s="14" t="s">
        <v>144</v>
      </c>
    </row>
    <row r="49" spans="1:6" ht="27.95">
      <c r="A49" s="12">
        <v>48</v>
      </c>
      <c r="B49" s="13" t="s">
        <v>135</v>
      </c>
      <c r="C49" s="13" t="s">
        <v>145</v>
      </c>
      <c r="D49" s="13" t="s">
        <v>64</v>
      </c>
      <c r="E49" s="13" t="s">
        <v>146</v>
      </c>
      <c r="F49" t="s">
        <v>49</v>
      </c>
    </row>
    <row r="50" spans="1:6" ht="123">
      <c r="A50" s="12">
        <v>49</v>
      </c>
      <c r="B50" s="13" t="s">
        <v>135</v>
      </c>
      <c r="C50" s="13" t="s">
        <v>147</v>
      </c>
      <c r="D50" s="13" t="s">
        <v>148</v>
      </c>
      <c r="E50" s="13" t="s">
        <v>149</v>
      </c>
      <c r="F50" s="14" t="s">
        <v>150</v>
      </c>
    </row>
    <row r="51" spans="1:6" ht="27.95">
      <c r="A51" s="12">
        <v>50</v>
      </c>
      <c r="B51" s="13" t="s">
        <v>135</v>
      </c>
      <c r="C51" s="13" t="s">
        <v>151</v>
      </c>
      <c r="D51" s="13" t="s">
        <v>152</v>
      </c>
      <c r="E51" s="13" t="s">
        <v>153</v>
      </c>
      <c r="F51" t="s">
        <v>69</v>
      </c>
    </row>
    <row r="52" spans="1:6" ht="27.95">
      <c r="A52" s="12">
        <v>51</v>
      </c>
      <c r="B52" s="13" t="s">
        <v>154</v>
      </c>
      <c r="C52" s="13" t="s">
        <v>155</v>
      </c>
      <c r="D52" s="13" t="s">
        <v>8</v>
      </c>
      <c r="E52" s="13" t="s">
        <v>156</v>
      </c>
      <c r="F52" t="s">
        <v>69</v>
      </c>
    </row>
    <row r="53" spans="1:6" ht="27.95">
      <c r="A53" s="12">
        <v>52</v>
      </c>
      <c r="B53" s="13" t="s">
        <v>154</v>
      </c>
      <c r="C53" s="13" t="s">
        <v>157</v>
      </c>
      <c r="D53" s="13" t="s">
        <v>12</v>
      </c>
      <c r="E53" s="13" t="s">
        <v>158</v>
      </c>
      <c r="F53" t="s">
        <v>69</v>
      </c>
    </row>
    <row r="54" spans="1:6" ht="27.95">
      <c r="A54" s="12">
        <v>53</v>
      </c>
      <c r="B54" s="13" t="s">
        <v>154</v>
      </c>
      <c r="C54" s="13" t="s">
        <v>159</v>
      </c>
      <c r="D54" s="13" t="s">
        <v>8</v>
      </c>
      <c r="E54" s="13" t="s">
        <v>160</v>
      </c>
      <c r="F54" t="s">
        <v>69</v>
      </c>
    </row>
    <row r="55" spans="1:6" ht="130.5">
      <c r="A55" s="12">
        <v>54</v>
      </c>
      <c r="B55" s="13" t="s">
        <v>154</v>
      </c>
      <c r="C55" s="13" t="s">
        <v>161</v>
      </c>
      <c r="D55" s="13" t="s">
        <v>162</v>
      </c>
      <c r="E55" s="13" t="s">
        <v>163</v>
      </c>
      <c r="F55" s="14" t="s">
        <v>164</v>
      </c>
    </row>
    <row r="56" spans="1:6" ht="118.5">
      <c r="A56" s="12">
        <v>55</v>
      </c>
      <c r="B56" s="13" t="s">
        <v>154</v>
      </c>
      <c r="C56" s="13" t="s">
        <v>165</v>
      </c>
      <c r="D56" s="13" t="s">
        <v>8</v>
      </c>
      <c r="E56" s="13" t="s">
        <v>166</v>
      </c>
      <c r="F56" s="14" t="s">
        <v>167</v>
      </c>
    </row>
    <row r="57" spans="1:6" ht="130.5">
      <c r="A57" s="12">
        <v>56</v>
      </c>
      <c r="B57" s="13" t="s">
        <v>154</v>
      </c>
      <c r="C57" s="13" t="s">
        <v>168</v>
      </c>
      <c r="D57" s="13" t="s">
        <v>169</v>
      </c>
      <c r="E57" s="13" t="s">
        <v>170</v>
      </c>
      <c r="F57" s="14" t="s">
        <v>171</v>
      </c>
    </row>
    <row r="58" spans="1:6" ht="107.25">
      <c r="A58" s="12">
        <v>57</v>
      </c>
      <c r="B58" s="13" t="s">
        <v>172</v>
      </c>
      <c r="C58" s="13" t="s">
        <v>173</v>
      </c>
      <c r="D58" s="13" t="s">
        <v>12</v>
      </c>
      <c r="E58" s="13" t="s">
        <v>174</v>
      </c>
      <c r="F58" s="14" t="s">
        <v>175</v>
      </c>
    </row>
    <row r="59" spans="1:6" ht="118.5">
      <c r="A59" s="12">
        <v>58</v>
      </c>
      <c r="B59" s="13" t="s">
        <v>172</v>
      </c>
      <c r="C59" s="13" t="s">
        <v>176</v>
      </c>
      <c r="D59" s="13" t="s">
        <v>8</v>
      </c>
      <c r="E59" s="13" t="s">
        <v>177</v>
      </c>
      <c r="F59" s="14" t="s">
        <v>178</v>
      </c>
    </row>
    <row r="60" spans="1:6" ht="84">
      <c r="A60" s="12">
        <v>59</v>
      </c>
      <c r="B60" s="13" t="s">
        <v>172</v>
      </c>
      <c r="C60" s="13" t="s">
        <v>179</v>
      </c>
      <c r="D60" s="13" t="s">
        <v>12</v>
      </c>
      <c r="E60" s="13" t="s">
        <v>180</v>
      </c>
      <c r="F60" s="14" t="s">
        <v>181</v>
      </c>
    </row>
    <row r="61" spans="1:6" ht="72">
      <c r="A61" s="12">
        <v>60</v>
      </c>
      <c r="B61" s="13" t="s">
        <v>172</v>
      </c>
      <c r="C61" s="13" t="s">
        <v>182</v>
      </c>
      <c r="D61" s="13" t="s">
        <v>22</v>
      </c>
      <c r="E61" s="13" t="s">
        <v>183</v>
      </c>
      <c r="F61" s="14" t="s">
        <v>184</v>
      </c>
    </row>
    <row r="62" spans="1:6" ht="118.5">
      <c r="A62" s="12">
        <v>61</v>
      </c>
      <c r="B62" s="13" t="s">
        <v>172</v>
      </c>
      <c r="C62" s="13" t="s">
        <v>185</v>
      </c>
      <c r="D62" s="13" t="s">
        <v>8</v>
      </c>
      <c r="E62" s="13" t="s">
        <v>186</v>
      </c>
      <c r="F62" s="14" t="s">
        <v>187</v>
      </c>
    </row>
    <row r="63" spans="1:6" ht="130.5">
      <c r="A63" s="12">
        <v>62</v>
      </c>
      <c r="B63" s="13" t="s">
        <v>172</v>
      </c>
      <c r="C63" s="13" t="s">
        <v>188</v>
      </c>
      <c r="D63" s="13" t="s">
        <v>162</v>
      </c>
      <c r="E63" s="13" t="s">
        <v>189</v>
      </c>
      <c r="F63" s="14" t="s">
        <v>190</v>
      </c>
    </row>
    <row r="64" spans="1:6" ht="96">
      <c r="A64" s="12">
        <v>63</v>
      </c>
      <c r="B64" s="13" t="s">
        <v>191</v>
      </c>
      <c r="C64" s="13" t="s">
        <v>192</v>
      </c>
      <c r="D64" s="13" t="s">
        <v>12</v>
      </c>
      <c r="E64" s="13" t="s">
        <v>193</v>
      </c>
      <c r="F64" s="14" t="s">
        <v>194</v>
      </c>
    </row>
    <row r="65" spans="1:6" ht="72">
      <c r="A65" s="12">
        <v>64</v>
      </c>
      <c r="B65" s="13" t="s">
        <v>191</v>
      </c>
      <c r="C65" s="13" t="s">
        <v>195</v>
      </c>
      <c r="D65" s="13" t="s">
        <v>12</v>
      </c>
      <c r="E65" s="13" t="s">
        <v>196</v>
      </c>
      <c r="F65" s="14" t="s">
        <v>195</v>
      </c>
    </row>
    <row r="66" spans="1:6" ht="107.25">
      <c r="A66" s="12">
        <v>65</v>
      </c>
      <c r="B66" s="13" t="s">
        <v>191</v>
      </c>
      <c r="C66" s="13" t="s">
        <v>197</v>
      </c>
      <c r="D66" s="13" t="s">
        <v>198</v>
      </c>
      <c r="E66" s="13" t="s">
        <v>199</v>
      </c>
      <c r="F66" s="14" t="s">
        <v>200</v>
      </c>
    </row>
    <row r="67" spans="1:6" ht="72">
      <c r="A67" s="12">
        <v>66</v>
      </c>
      <c r="B67" s="13" t="s">
        <v>191</v>
      </c>
      <c r="C67" s="13" t="s">
        <v>201</v>
      </c>
      <c r="D67" s="13" t="s">
        <v>12</v>
      </c>
      <c r="E67" s="13" t="s">
        <v>202</v>
      </c>
      <c r="F67" s="14" t="s">
        <v>203</v>
      </c>
    </row>
    <row r="68" spans="1:6" ht="72">
      <c r="A68" s="12">
        <v>67</v>
      </c>
      <c r="B68" s="13" t="s">
        <v>191</v>
      </c>
      <c r="C68" s="13" t="s">
        <v>204</v>
      </c>
      <c r="D68" s="13" t="s">
        <v>12</v>
      </c>
      <c r="E68" s="13" t="s">
        <v>205</v>
      </c>
      <c r="F68" s="14" t="s">
        <v>206</v>
      </c>
    </row>
    <row r="69" spans="1:6" ht="60">
      <c r="A69" s="12">
        <v>68</v>
      </c>
      <c r="B69" s="13" t="s">
        <v>191</v>
      </c>
      <c r="C69" s="13" t="s">
        <v>207</v>
      </c>
      <c r="D69" s="13" t="s">
        <v>88</v>
      </c>
      <c r="E69" s="13" t="s">
        <v>208</v>
      </c>
      <c r="F69" s="14" t="s">
        <v>209</v>
      </c>
    </row>
    <row r="70" spans="1:6" ht="107.25">
      <c r="A70" s="12">
        <v>69</v>
      </c>
      <c r="B70" s="13" t="s">
        <v>210</v>
      </c>
      <c r="C70" s="13" t="s">
        <v>211</v>
      </c>
      <c r="D70" s="13" t="s">
        <v>198</v>
      </c>
      <c r="E70" s="13" t="s">
        <v>212</v>
      </c>
      <c r="F70" s="14" t="s">
        <v>213</v>
      </c>
    </row>
    <row r="71" spans="1:6" ht="130.5">
      <c r="A71" s="12">
        <v>70</v>
      </c>
      <c r="B71" s="13" t="s">
        <v>210</v>
      </c>
      <c r="C71" s="13" t="s">
        <v>214</v>
      </c>
      <c r="D71" s="13" t="s">
        <v>215</v>
      </c>
      <c r="E71" s="13" t="s">
        <v>216</v>
      </c>
      <c r="F71" s="14" t="s">
        <v>217</v>
      </c>
    </row>
    <row r="72" spans="1:6" ht="178.5">
      <c r="A72" s="12">
        <v>71</v>
      </c>
      <c r="B72" s="13" t="s">
        <v>210</v>
      </c>
      <c r="C72" s="13" t="s">
        <v>218</v>
      </c>
      <c r="D72" s="13" t="s">
        <v>219</v>
      </c>
      <c r="E72" s="13" t="s">
        <v>220</v>
      </c>
      <c r="F72" s="14" t="s">
        <v>221</v>
      </c>
    </row>
    <row r="73" spans="1:6" ht="130.5">
      <c r="A73" s="12">
        <v>72</v>
      </c>
      <c r="B73" s="13" t="s">
        <v>210</v>
      </c>
      <c r="C73" s="13" t="s">
        <v>222</v>
      </c>
      <c r="D73" s="13" t="s">
        <v>169</v>
      </c>
      <c r="E73" s="13" t="s">
        <v>223</v>
      </c>
      <c r="F73" s="14" t="s">
        <v>224</v>
      </c>
    </row>
    <row r="74" spans="1:6" ht="118.5">
      <c r="A74" s="12">
        <v>73</v>
      </c>
      <c r="B74" s="13" t="s">
        <v>210</v>
      </c>
      <c r="C74" s="13" t="s">
        <v>225</v>
      </c>
      <c r="D74" s="13" t="s">
        <v>152</v>
      </c>
      <c r="E74" s="13" t="s">
        <v>226</v>
      </c>
      <c r="F74" s="14" t="s">
        <v>227</v>
      </c>
    </row>
    <row r="75" spans="1:6" ht="178.5">
      <c r="A75" s="12">
        <v>74</v>
      </c>
      <c r="B75" s="13" t="s">
        <v>210</v>
      </c>
      <c r="C75" s="13" t="s">
        <v>228</v>
      </c>
      <c r="D75" s="13" t="s">
        <v>229</v>
      </c>
      <c r="E75" s="13" t="s">
        <v>230</v>
      </c>
      <c r="F75" s="14" t="s">
        <v>231</v>
      </c>
    </row>
    <row r="76" spans="1:6" ht="107.25">
      <c r="A76" s="12">
        <v>75</v>
      </c>
      <c r="B76" s="13" t="s">
        <v>210</v>
      </c>
      <c r="C76" s="13" t="s">
        <v>232</v>
      </c>
      <c r="D76" s="13" t="s">
        <v>198</v>
      </c>
      <c r="E76" s="13" t="s">
        <v>233</v>
      </c>
      <c r="F76" s="14" t="s">
        <v>234</v>
      </c>
    </row>
    <row r="77" spans="1:6" ht="130.5">
      <c r="A77" s="12">
        <v>76</v>
      </c>
      <c r="B77" s="13" t="s">
        <v>210</v>
      </c>
      <c r="C77" s="13" t="s">
        <v>235</v>
      </c>
      <c r="D77" s="13" t="s">
        <v>215</v>
      </c>
      <c r="E77" s="13" t="s">
        <v>236</v>
      </c>
      <c r="F77" s="14" t="s">
        <v>237</v>
      </c>
    </row>
    <row r="78" spans="1:6" ht="107.25">
      <c r="A78" s="12">
        <v>77</v>
      </c>
      <c r="B78" s="13" t="s">
        <v>210</v>
      </c>
      <c r="C78" s="13" t="s">
        <v>238</v>
      </c>
      <c r="D78" s="13" t="s">
        <v>198</v>
      </c>
      <c r="E78" s="13" t="s">
        <v>239</v>
      </c>
      <c r="F78" s="14" t="s">
        <v>240</v>
      </c>
    </row>
    <row r="79" spans="1:6" ht="178.5">
      <c r="A79" s="12">
        <v>78</v>
      </c>
      <c r="B79" s="13" t="s">
        <v>210</v>
      </c>
      <c r="C79" s="13" t="s">
        <v>241</v>
      </c>
      <c r="D79" s="13" t="s">
        <v>219</v>
      </c>
      <c r="E79" s="13" t="s">
        <v>242</v>
      </c>
      <c r="F79" s="14" t="s">
        <v>243</v>
      </c>
    </row>
  </sheetData>
  <autoFilter ref="A1:E1" xr:uid="{00000000-0009-0000-0000-000000000000}"/>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46"/>
  <sheetViews>
    <sheetView zoomScaleNormal="100" workbookViewId="0">
      <pane ySplit="1" topLeftCell="A2" activePane="bottomLeft" state="frozen"/>
      <selection pane="bottomLeft"/>
    </sheetView>
  </sheetViews>
  <sheetFormatPr defaultColWidth="8.7109375" defaultRowHeight="15"/>
  <cols>
    <col min="1" max="1" width="30" customWidth="1"/>
    <col min="2" max="2" width="28" customWidth="1"/>
    <col min="3" max="3" width="30" customWidth="1"/>
    <col min="4" max="4" width="60" customWidth="1"/>
  </cols>
  <sheetData>
    <row r="1" spans="1:4">
      <c r="A1" s="3" t="s">
        <v>244</v>
      </c>
      <c r="B1" s="3" t="s">
        <v>245</v>
      </c>
      <c r="C1" s="3" t="s">
        <v>246</v>
      </c>
      <c r="D1" s="3" t="s">
        <v>247</v>
      </c>
    </row>
    <row r="2" spans="1:4">
      <c r="A2" s="2" t="s">
        <v>12</v>
      </c>
      <c r="B2" s="4" t="s">
        <v>248</v>
      </c>
      <c r="C2" s="5" t="s">
        <v>249</v>
      </c>
      <c r="D2" s="2" t="s">
        <v>250</v>
      </c>
    </row>
    <row r="3" spans="1:4">
      <c r="A3" s="1" t="s">
        <v>12</v>
      </c>
      <c r="B3" s="6" t="s">
        <v>251</v>
      </c>
      <c r="C3" s="7" t="s">
        <v>252</v>
      </c>
      <c r="D3" s="1" t="s">
        <v>253</v>
      </c>
    </row>
    <row r="4" spans="1:4">
      <c r="A4" s="2" t="s">
        <v>12</v>
      </c>
      <c r="B4" s="4" t="s">
        <v>254</v>
      </c>
      <c r="C4" s="5" t="s">
        <v>255</v>
      </c>
      <c r="D4" s="2" t="s">
        <v>256</v>
      </c>
    </row>
    <row r="5" spans="1:4">
      <c r="A5" s="1" t="s">
        <v>12</v>
      </c>
      <c r="B5" s="6" t="s">
        <v>257</v>
      </c>
      <c r="C5" s="7" t="s">
        <v>258</v>
      </c>
      <c r="D5" s="1" t="s">
        <v>259</v>
      </c>
    </row>
    <row r="6" spans="1:4">
      <c r="A6" s="2" t="s">
        <v>12</v>
      </c>
      <c r="B6" s="4" t="s">
        <v>260</v>
      </c>
      <c r="C6" s="5" t="s">
        <v>261</v>
      </c>
      <c r="D6" s="2" t="s">
        <v>262</v>
      </c>
    </row>
    <row r="7" spans="1:4">
      <c r="A7" s="1" t="s">
        <v>12</v>
      </c>
      <c r="B7" s="6" t="s">
        <v>263</v>
      </c>
      <c r="C7" s="7" t="s">
        <v>264</v>
      </c>
      <c r="D7" s="1" t="s">
        <v>265</v>
      </c>
    </row>
    <row r="8" spans="1:4">
      <c r="A8" s="2" t="s">
        <v>12</v>
      </c>
      <c r="B8" s="4" t="s">
        <v>266</v>
      </c>
      <c r="C8" s="5" t="s">
        <v>267</v>
      </c>
      <c r="D8" s="2" t="s">
        <v>268</v>
      </c>
    </row>
    <row r="9" spans="1:4">
      <c r="A9" s="1" t="s">
        <v>12</v>
      </c>
      <c r="B9" s="6" t="s">
        <v>269</v>
      </c>
      <c r="C9" s="7" t="s">
        <v>270</v>
      </c>
      <c r="D9" s="1" t="s">
        <v>271</v>
      </c>
    </row>
    <row r="10" spans="1:4">
      <c r="A10" s="2" t="s">
        <v>12</v>
      </c>
      <c r="B10" s="4" t="s">
        <v>272</v>
      </c>
      <c r="C10" s="5" t="s">
        <v>273</v>
      </c>
      <c r="D10" s="2" t="s">
        <v>274</v>
      </c>
    </row>
    <row r="11" spans="1:4" ht="27.95">
      <c r="A11" s="1" t="s">
        <v>12</v>
      </c>
      <c r="B11" s="6" t="s">
        <v>275</v>
      </c>
      <c r="C11" s="7" t="s">
        <v>276</v>
      </c>
      <c r="D11" s="1" t="s">
        <v>277</v>
      </c>
    </row>
    <row r="12" spans="1:4">
      <c r="A12" s="2" t="s">
        <v>12</v>
      </c>
      <c r="B12" s="4" t="s">
        <v>278</v>
      </c>
      <c r="C12" s="5" t="s">
        <v>279</v>
      </c>
      <c r="D12" s="2" t="s">
        <v>280</v>
      </c>
    </row>
    <row r="13" spans="1:4">
      <c r="A13" s="1" t="s">
        <v>12</v>
      </c>
      <c r="B13" s="6" t="s">
        <v>281</v>
      </c>
      <c r="C13" s="7" t="s">
        <v>282</v>
      </c>
      <c r="D13" s="1" t="s">
        <v>283</v>
      </c>
    </row>
    <row r="14" spans="1:4" ht="27.95">
      <c r="A14" s="2" t="s">
        <v>22</v>
      </c>
      <c r="B14" s="4" t="s">
        <v>284</v>
      </c>
      <c r="C14" s="5" t="s">
        <v>285</v>
      </c>
      <c r="D14" s="2" t="s">
        <v>286</v>
      </c>
    </row>
    <row r="15" spans="1:4" ht="27.95">
      <c r="A15" s="1" t="s">
        <v>22</v>
      </c>
      <c r="B15" s="6" t="s">
        <v>287</v>
      </c>
      <c r="C15" s="7" t="s">
        <v>288</v>
      </c>
      <c r="D15" s="1" t="s">
        <v>286</v>
      </c>
    </row>
    <row r="16" spans="1:4" ht="27.95">
      <c r="A16" s="2" t="s">
        <v>22</v>
      </c>
      <c r="B16" s="4" t="s">
        <v>289</v>
      </c>
      <c r="C16" s="5" t="s">
        <v>290</v>
      </c>
      <c r="D16" s="2" t="s">
        <v>291</v>
      </c>
    </row>
    <row r="17" spans="1:4" ht="27.95">
      <c r="A17" s="1" t="s">
        <v>22</v>
      </c>
      <c r="B17" s="6" t="s">
        <v>254</v>
      </c>
      <c r="C17" s="7" t="s">
        <v>255</v>
      </c>
      <c r="D17" s="1" t="s">
        <v>256</v>
      </c>
    </row>
    <row r="18" spans="1:4" ht="27.95">
      <c r="A18" s="2" t="s">
        <v>22</v>
      </c>
      <c r="B18" s="4" t="s">
        <v>248</v>
      </c>
      <c r="C18" s="5" t="s">
        <v>249</v>
      </c>
      <c r="D18" s="2" t="s">
        <v>250</v>
      </c>
    </row>
    <row r="19" spans="1:4" ht="27.95">
      <c r="A19" s="1" t="s">
        <v>22</v>
      </c>
      <c r="B19" s="6" t="s">
        <v>251</v>
      </c>
      <c r="C19" s="7" t="s">
        <v>252</v>
      </c>
      <c r="D19" s="1" t="s">
        <v>292</v>
      </c>
    </row>
    <row r="20" spans="1:4" ht="27.95">
      <c r="A20" s="2" t="s">
        <v>22</v>
      </c>
      <c r="B20" s="4" t="s">
        <v>260</v>
      </c>
      <c r="C20" s="5" t="s">
        <v>261</v>
      </c>
      <c r="D20" s="2" t="s">
        <v>293</v>
      </c>
    </row>
    <row r="21" spans="1:4" ht="27.95">
      <c r="A21" s="1" t="s">
        <v>22</v>
      </c>
      <c r="B21" s="6" t="s">
        <v>263</v>
      </c>
      <c r="C21" s="7" t="s">
        <v>264</v>
      </c>
      <c r="D21" s="1" t="s">
        <v>294</v>
      </c>
    </row>
    <row r="22" spans="1:4" ht="27.95">
      <c r="A22" s="2" t="s">
        <v>22</v>
      </c>
      <c r="B22" s="4" t="s">
        <v>295</v>
      </c>
      <c r="C22" s="5" t="s">
        <v>296</v>
      </c>
      <c r="D22" s="2" t="s">
        <v>297</v>
      </c>
    </row>
    <row r="23" spans="1:4" ht="27.95">
      <c r="A23" s="1" t="s">
        <v>22</v>
      </c>
      <c r="B23" s="6" t="s">
        <v>298</v>
      </c>
      <c r="C23" s="7" t="s">
        <v>299</v>
      </c>
      <c r="D23" s="1" t="s">
        <v>300</v>
      </c>
    </row>
    <row r="24" spans="1:4" ht="27.95">
      <c r="A24" s="2" t="s">
        <v>22</v>
      </c>
      <c r="B24" s="4" t="s">
        <v>301</v>
      </c>
      <c r="C24" s="5" t="s">
        <v>302</v>
      </c>
      <c r="D24" s="2" t="s">
        <v>303</v>
      </c>
    </row>
    <row r="25" spans="1:4" ht="27.95">
      <c r="A25" s="1" t="s">
        <v>22</v>
      </c>
      <c r="B25" s="6" t="s">
        <v>304</v>
      </c>
      <c r="C25" s="7" t="s">
        <v>305</v>
      </c>
      <c r="D25" s="1" t="s">
        <v>306</v>
      </c>
    </row>
    <row r="26" spans="1:4">
      <c r="A26" s="2" t="s">
        <v>64</v>
      </c>
      <c r="B26" s="4" t="s">
        <v>307</v>
      </c>
      <c r="C26" s="5" t="s">
        <v>308</v>
      </c>
      <c r="D26" s="2" t="s">
        <v>309</v>
      </c>
    </row>
    <row r="27" spans="1:4">
      <c r="A27" s="1" t="s">
        <v>64</v>
      </c>
      <c r="B27" s="6" t="s">
        <v>310</v>
      </c>
      <c r="C27" s="7" t="s">
        <v>311</v>
      </c>
      <c r="D27" s="1" t="s">
        <v>312</v>
      </c>
    </row>
    <row r="28" spans="1:4">
      <c r="A28" s="2" t="s">
        <v>64</v>
      </c>
      <c r="B28" s="4" t="s">
        <v>313</v>
      </c>
      <c r="C28" s="5" t="s">
        <v>314</v>
      </c>
      <c r="D28" s="2" t="s">
        <v>315</v>
      </c>
    </row>
    <row r="29" spans="1:4">
      <c r="A29" s="1" t="s">
        <v>64</v>
      </c>
      <c r="B29" s="6" t="s">
        <v>316</v>
      </c>
      <c r="C29" s="7" t="s">
        <v>317</v>
      </c>
      <c r="D29" s="1" t="s">
        <v>318</v>
      </c>
    </row>
    <row r="30" spans="1:4">
      <c r="A30" s="2" t="s">
        <v>64</v>
      </c>
      <c r="B30" s="4" t="s">
        <v>319</v>
      </c>
      <c r="C30" s="5" t="s">
        <v>320</v>
      </c>
      <c r="D30" s="2" t="s">
        <v>321</v>
      </c>
    </row>
    <row r="31" spans="1:4">
      <c r="A31" s="1" t="s">
        <v>64</v>
      </c>
      <c r="B31" s="6" t="s">
        <v>322</v>
      </c>
      <c r="C31" s="7" t="s">
        <v>323</v>
      </c>
      <c r="D31" s="1" t="s">
        <v>324</v>
      </c>
    </row>
    <row r="32" spans="1:4">
      <c r="A32" s="2" t="s">
        <v>64</v>
      </c>
      <c r="B32" s="4" t="s">
        <v>325</v>
      </c>
      <c r="C32" s="5" t="s">
        <v>326</v>
      </c>
      <c r="D32" s="2" t="s">
        <v>327</v>
      </c>
    </row>
    <row r="33" spans="1:4">
      <c r="A33" s="1" t="s">
        <v>64</v>
      </c>
      <c r="B33" s="6" t="s">
        <v>328</v>
      </c>
      <c r="C33" s="7" t="s">
        <v>329</v>
      </c>
      <c r="D33" s="1" t="s">
        <v>330</v>
      </c>
    </row>
    <row r="34" spans="1:4" ht="27.95">
      <c r="A34" s="2" t="s">
        <v>64</v>
      </c>
      <c r="B34" s="4" t="s">
        <v>331</v>
      </c>
      <c r="C34" s="5" t="s">
        <v>332</v>
      </c>
      <c r="D34" s="2" t="s">
        <v>333</v>
      </c>
    </row>
    <row r="35" spans="1:4">
      <c r="A35" s="1" t="s">
        <v>64</v>
      </c>
      <c r="B35" s="6" t="s">
        <v>334</v>
      </c>
      <c r="C35" s="7" t="s">
        <v>335</v>
      </c>
      <c r="D35" s="1" t="s">
        <v>336</v>
      </c>
    </row>
    <row r="36" spans="1:4">
      <c r="A36" s="2" t="s">
        <v>64</v>
      </c>
      <c r="B36" s="4" t="s">
        <v>337</v>
      </c>
      <c r="C36" s="5" t="s">
        <v>338</v>
      </c>
      <c r="D36" s="2" t="s">
        <v>339</v>
      </c>
    </row>
    <row r="37" spans="1:4">
      <c r="A37" s="1" t="s">
        <v>88</v>
      </c>
      <c r="B37" s="6" t="s">
        <v>307</v>
      </c>
      <c r="C37" s="7" t="s">
        <v>340</v>
      </c>
      <c r="D37" s="1" t="s">
        <v>341</v>
      </c>
    </row>
    <row r="38" spans="1:4">
      <c r="A38" s="2" t="s">
        <v>88</v>
      </c>
      <c r="B38" s="4" t="s">
        <v>342</v>
      </c>
      <c r="C38" s="5" t="s">
        <v>343</v>
      </c>
      <c r="D38" s="2" t="s">
        <v>344</v>
      </c>
    </row>
    <row r="39" spans="1:4">
      <c r="A39" s="1" t="s">
        <v>88</v>
      </c>
      <c r="B39" s="6" t="s">
        <v>345</v>
      </c>
      <c r="C39" s="7" t="s">
        <v>346</v>
      </c>
      <c r="D39" s="1" t="s">
        <v>347</v>
      </c>
    </row>
    <row r="40" spans="1:4" ht="27.95">
      <c r="A40" s="2" t="s">
        <v>88</v>
      </c>
      <c r="B40" s="4" t="s">
        <v>348</v>
      </c>
      <c r="C40" s="5" t="s">
        <v>349</v>
      </c>
      <c r="D40" s="2" t="s">
        <v>350</v>
      </c>
    </row>
    <row r="41" spans="1:4" ht="27.95">
      <c r="A41" s="1" t="s">
        <v>88</v>
      </c>
      <c r="B41" s="6" t="s">
        <v>351</v>
      </c>
      <c r="C41" s="7" t="s">
        <v>352</v>
      </c>
      <c r="D41" s="1" t="s">
        <v>353</v>
      </c>
    </row>
    <row r="42" spans="1:4">
      <c r="A42" s="2" t="s">
        <v>88</v>
      </c>
      <c r="B42" s="4" t="s">
        <v>354</v>
      </c>
      <c r="C42" s="5" t="s">
        <v>355</v>
      </c>
      <c r="D42" s="2" t="s">
        <v>356</v>
      </c>
    </row>
    <row r="43" spans="1:4" ht="27.95">
      <c r="A43" s="1" t="s">
        <v>88</v>
      </c>
      <c r="B43" s="6" t="s">
        <v>357</v>
      </c>
      <c r="C43" s="7" t="s">
        <v>358</v>
      </c>
      <c r="D43" s="1" t="s">
        <v>359</v>
      </c>
    </row>
    <row r="44" spans="1:4">
      <c r="A44" s="2" t="s">
        <v>88</v>
      </c>
      <c r="B44" s="4" t="s">
        <v>360</v>
      </c>
      <c r="C44" s="5" t="s">
        <v>361</v>
      </c>
      <c r="D44" s="2" t="s">
        <v>362</v>
      </c>
    </row>
    <row r="45" spans="1:4">
      <c r="A45" s="1" t="s">
        <v>88</v>
      </c>
      <c r="B45" s="6" t="s">
        <v>363</v>
      </c>
      <c r="C45" s="7" t="s">
        <v>364</v>
      </c>
      <c r="D45" s="1" t="s">
        <v>365</v>
      </c>
    </row>
    <row r="46" spans="1:4">
      <c r="A46" s="2" t="s">
        <v>88</v>
      </c>
      <c r="B46" s="4" t="s">
        <v>366</v>
      </c>
      <c r="C46" s="5" t="s">
        <v>367</v>
      </c>
      <c r="D46" s="2" t="s">
        <v>368</v>
      </c>
    </row>
  </sheetData>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6"/>
  <sheetViews>
    <sheetView zoomScaleNormal="100" workbookViewId="0"/>
  </sheetViews>
  <sheetFormatPr defaultColWidth="8.7109375" defaultRowHeight="15"/>
  <cols>
    <col min="1" max="1" width="35" customWidth="1"/>
    <col min="2" max="2" width="15" customWidth="1"/>
  </cols>
  <sheetData>
    <row r="1" spans="1:2">
      <c r="A1" s="8" t="s">
        <v>369</v>
      </c>
      <c r="B1" s="8">
        <v>78</v>
      </c>
    </row>
    <row r="2" spans="1:2">
      <c r="A2" s="8" t="s">
        <v>370</v>
      </c>
      <c r="B2" s="8">
        <v>10</v>
      </c>
    </row>
    <row r="3" spans="1:2">
      <c r="A3" s="9" t="s">
        <v>371</v>
      </c>
      <c r="B3" s="9" t="e">
        <f>COUNTIF('Test Questions'!#REF!,"3 filters")</f>
        <v>#REF!</v>
      </c>
    </row>
    <row r="4" spans="1:2">
      <c r="A4" s="9" t="s">
        <v>372</v>
      </c>
      <c r="B4" s="9" t="e">
        <f>COUNTIF('Test Questions'!#REF!,"4+ filters")</f>
        <v>#REF!</v>
      </c>
    </row>
    <row r="5" spans="1:2">
      <c r="A5" s="9"/>
      <c r="B5" s="9"/>
    </row>
    <row r="6" spans="1:2">
      <c r="A6" s="8" t="s">
        <v>373</v>
      </c>
      <c r="B6" s="8" t="s">
        <v>374</v>
      </c>
    </row>
    <row r="7" spans="1:2">
      <c r="A7" s="9" t="s">
        <v>375</v>
      </c>
      <c r="B7" s="9">
        <v>8</v>
      </c>
    </row>
    <row r="8" spans="1:2">
      <c r="A8" s="9" t="s">
        <v>376</v>
      </c>
      <c r="B8" s="9">
        <v>9</v>
      </c>
    </row>
    <row r="9" spans="1:2">
      <c r="A9" s="9" t="s">
        <v>377</v>
      </c>
      <c r="B9" s="9">
        <v>9</v>
      </c>
    </row>
    <row r="10" spans="1:2">
      <c r="A10" s="9" t="s">
        <v>378</v>
      </c>
      <c r="B10" s="9">
        <v>9</v>
      </c>
    </row>
    <row r="11" spans="1:2">
      <c r="A11" s="9" t="s">
        <v>379</v>
      </c>
      <c r="B11" s="9">
        <v>9</v>
      </c>
    </row>
    <row r="12" spans="1:2">
      <c r="A12" s="9" t="s">
        <v>380</v>
      </c>
      <c r="B12" s="9">
        <v>6</v>
      </c>
    </row>
    <row r="13" spans="1:2">
      <c r="A13" s="9" t="s">
        <v>381</v>
      </c>
      <c r="B13" s="9">
        <v>6</v>
      </c>
    </row>
    <row r="14" spans="1:2">
      <c r="A14" s="9" t="s">
        <v>172</v>
      </c>
      <c r="B14" s="9">
        <v>6</v>
      </c>
    </row>
    <row r="15" spans="1:2">
      <c r="A15" s="9" t="s">
        <v>382</v>
      </c>
      <c r="B15" s="9">
        <v>6</v>
      </c>
    </row>
    <row r="16" spans="1:2">
      <c r="A16" s="9" t="s">
        <v>383</v>
      </c>
      <c r="B16" s="9">
        <v>10</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
  <cp:revision>0</cp:revision>
  <dcterms:created xsi:type="dcterms:W3CDTF">2026-03-30T05:52:28Z</dcterms:created>
  <dcterms:modified xsi:type="dcterms:W3CDTF">2026-04-07T09:46:41Z</dcterms:modified>
  <cp:category/>
  <cp:contentStatus/>
</cp:coreProperties>
</file>